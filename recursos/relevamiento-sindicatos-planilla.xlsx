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yenda" sheetId="1" state="visible" r:id="rId3"/>
    <sheet name="Propuestas" sheetId="2" state="visible" r:id="rId4"/>
    <sheet name="Sindicatos" sheetId="3" state="visible" r:id="rId5"/>
    <sheet name="Servicios" sheetId="4" state="visible" r:id="rId6"/>
    <sheet name="Cobertura" sheetId="5" state="visible" r:id="rId7"/>
    <sheet name="Matriz"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<sst xmlns="http://schemas.openxmlformats.org/spreadsheetml/2006/main" count="7724" uniqueCount="3944">
  <si>
    <t xml:space="preserve">Relevamiento de servicios a afiliados en sindicatos argentinos — ideas para Colm3na / Mi Trabajo</t>
  </si>
  <si>
    <t xml:space="preserve">Fecha: 25/09/2026. Fuente: páginas oficiales de cada sindicato (home + 2-5 páginas de servicios). Se excluyeron prestaciones de obra social; se incluyeron mutuales, institutos y fundaciones del gremio.</t>
  </si>
  <si>
    <t xml:space="preserve">Hojas:</t>
  </si>
  <si>
    <t xml:space="preserve">Propuestas — 34 ideas evaluadas contra Colm3na. Prioridad = Impacto×2 − Esfuerzo (fórmula). Ola 1: rápido y alto valor; 2: medio; 3: estructural.</t>
  </si>
  <si>
    <t xml:space="preserve">Sindicatos — 47 fichas: calidad informativa del sitio (1-5), app/portal detectado, mutual/instituto, cantidad de servicios.</t>
  </si>
  <si>
    <t xml:space="preserve">Servicios — 715 servicios relevados con modalidad (online / semi-online / presencial), categoría, descripción, URL y propuestas de Colm3na vinculadas.</t>
  </si>
  <si>
    <t xml:space="preserve">Cobertura — por sindicato, cuántos servicios cubre Colm3na hoy, a corto plazo (ola 1), con desarrollo mayor o no aplica; y cuántas vacancias digitales (semi-online/presencial) son cubribles a corto plazo.</t>
  </si>
  <si>
    <t xml:space="preserve">Matriz — qué sindicatos aportan evidencia a cada propuesta.</t>
  </si>
  <si>
    <t xml:space="preserve">Tipo de propuesta: NUEVA = módulo o función inexistente en Colm3na; VARIANTE = mejora de algo existente o ya planificado; EXTENSION = amplía un módulo existente.</t>
  </si>
  <si>
    <t xml:space="preserve">Notas: UPCN, UOCRA, FATSA/ATSA, SUTNA y AOT no pudieron relevarse y se reemplazaron por UPJET, FGB, Pasteleros, STIHMPRA y SETIA. AEDGI hoy se llama AEFIP (una sola ficha). Aceiteros = Federación + SOEA San Lorenzo. Montos citados son los publicados por cada sitio a la fecha del relevamiento.</t>
  </si>
  <si>
    <t xml:space="preserve">ID</t>
  </si>
  <si>
    <t xml:space="preserve">Título</t>
  </si>
  <si>
    <t xml:space="preserve">Tipo</t>
  </si>
  <si>
    <t xml:space="preserve">Módulo Colm3na</t>
  </si>
  <si>
    <t xml:space="preserve">Sindicatos fuente</t>
  </si>
  <si>
    <t xml:space="preserve">Idea original observada</t>
  </si>
  <si>
    <t xml:space="preserve">Funcionalidad propuesta en Colm3na</t>
  </si>
  <si>
    <t xml:space="preserve">Resumen (4 líneas)</t>
  </si>
  <si>
    <t xml:space="preserve">Impacto (1-5)</t>
  </si>
  <si>
    <t xml:space="preserve">Esfuerzo (1-5)</t>
  </si>
  <si>
    <t xml:space="preserve">Prioridad</t>
  </si>
  <si>
    <t xml:space="preserve">Ola</t>
  </si>
  <si>
    <t xml:space="preserve">Evidencia (servicios)</t>
  </si>
  <si>
    <t xml:space="preserve">P01</t>
  </si>
  <si>
    <t xml:space="preserve">Motor de subsidios por evento vital con elegibilidad automática</t>
  </si>
  <si>
    <t xml:space="preserve">VARIANTE</t>
  </si>
  <si>
    <t xml:space="preserve">Trámites + Beneficios + Trabajadores</t>
  </si>
  <si>
    <t xml:space="preserve">SUPARA, CAMIONEROS, FOETRA, ACEITEROS, UF, STPCHPYA, UPSRA, SOEME, UPJET, APOC, ALEARA, SUTPA, SOESGyPE, SSRA, STVyARA, SGBATOS, SETIA, UOMA</t>
  </si>
  <si>
    <t xml:space="preserve">Es el servicio más repetido después del turismo: 38 de los 47 gremios publican subsidios por casamiento, nacimiento, adopción, fallecimiento, cumpleaños de 15/18 de hijos, jubilación o cumpleaños del afiliado, con reglas explícitas: antigüedad mínima (3 a 12 meses), plazo desde el evento (30 días a 6 meses), documentación, monto vigente con fecha y pago por CBU. SUPARA los resolvió con un micrositio por subsidio con carga de documentos y firma dibujada; Camioneros lo inició en su Sede Digital; APOC usa Google Forms + CBU; SSRA los pide desde la app; SOEA publica montos escalonados por categoría del CCT; SUTPA y la mutual de SOESGyPE expresan los montos en múltiplos de la cuota social (20 cuotas nacimiento, 100 fallecimiento), lo que los indexa solos.</t>
  </si>
  <si>
    <t xml:space="preserve">Plantilla 'Subsidio' en el constructor de trámites: evento, antigüedad mínima, plazo desde el evento, monto (fijo con vigencia, por categoría, o en múltiplos de cuota/porcentaje de escala), documentación y CBU. La app precalcula la elegibilidad antes de dejar iniciar el trámite, lee la partida o acta con el extractor para prellenar fechas y pasa el expediente por los estados existentes hasta 'pagado'.</t>
  </si>
  <si>
    <t xml:space="preserve">Convierte el catálogo de subsidios en trámites autoevaluados: el trabajador ve a qué tiene derecho y pide con dos fotos.
El sindicato deja de recibir mails y papel, y tiene tablero de subsidios pagados por seccional y período.
Reutiliza el motor de trámites, el extractor y el padrón; solo agrega reglas de elegibilidad y montos con vigencia.
Es el segundo servicio más repetido en los 47 sitios relevados: alto valor percibido y rápido de mostrar.</t>
  </si>
  <si>
    <t xml:space="preserve">SUPARA-8, SUPARA-9, SUPARA-10, CAMIONEROS-3, FOETRA-2, FOETRA-3, ACEITEROS-9, ACEITEROS-10, UF-5, UF-6, STPCHPYA-8, UPSRA-6, UPJET-5, APOC-2, ALEARA-4, ALEARA-5, SUTPA-3, SOESGyPE-6, SSRA-2, STVyARA-3, SGBATOS-13, SETIA-10, UOMA-7</t>
  </si>
  <si>
    <t xml:space="preserve">P02</t>
  </si>
  <si>
    <t xml:space="preserve">Vouchers digitales por hitos de vida y fechas recurrentes</t>
  </si>
  <si>
    <t xml:space="preserve">NUEVA</t>
  </si>
  <si>
    <t xml:space="preserve">Beneficios + Credencial</t>
  </si>
  <si>
    <t xml:space="preserve">AEFIP, FGB, UF, UPSRA, UATRE, STIA, SUPARA, UTA, SADOP, AAA, SETIA, SGBATOS, UECARA, SPT, UPJET, ALEARA</t>
  </si>
  <si>
    <t xml:space="preserve">Veinte gremios regalan 7 a 10 noches en hoteles propios por casamiento, bodas de plata u oro, jubilación o 30/50 años de afiliación, a veces canjeables por dinero (UPSRA, UF) y con validez de un año en temporada baja. Aparecen además regalos recurrentes con elección de opción: cumpleaños del afiliado (AAA: gift card, 2 noches de hotel o anteojos según perfil; ALEARA: subsidio), kit de nacimiento o entradas a un parque (SADOP), gift card multimarca por hijo en el Día del Niño (UPJET), caja de Navidad (SETIA), noche de bodas (SADOP, UECARA). STIA PBA da días gratis según antigüedad. Todo se gestiona por mail y papel, y nadie sabe cuántos se canjean.</t>
  </si>
  <si>
    <t xml:space="preserve">Beneficio de tipo 'voucher': se emite automáticamente al aprobarse un evento (P01) o al cumplirse un hito calculado desde el padrón (aniversario de afiliación, cumpleaños, antigüedad), con QR, vigencia, condiciones y, si el sindicato lo define, opciones a elegir (estadía / monto / producto). El prestador lo valida y canjea con la misma verificación de QR de la credencial.</t>
  </si>
  <si>
    <t xml:space="preserve">Regalos por hitos que hoy se pierden en mails pasan a ser cupones en la app con vencimiento y canje controlado.
El sindicato monetiza temporada baja de sus hoteles y ve cuántos vouchers emitió y canjeó.
Se apoya en la validación de QR ya construida para la credencial.
Diferencia a Colm3na en un punto muy emocional para el afiliado (casamiento, nacimiento, jubilación, cumpleaños).</t>
  </si>
  <si>
    <t xml:space="preserve">AEFIP-6, AEFIP-7, AEFIP-9, FGB-10, UF-7, UPSRA-6, UATRE-7, STIA-12, SUPARA-15, UTA-5, SADOP-10, SADOP-11, SADOP-13, AAA-6, SETIA-11, SGBATOS-14, UECARA-7, SPT-12, UPJET-7, ALEARA-5, SETIA-13</t>
  </si>
  <si>
    <t xml:space="preserve">P03</t>
  </si>
  <si>
    <t xml:space="preserve">Elegibilidad por nivel de vínculo: afiliado, adherente, jubilado, monotributista, no afiliado del rubro</t>
  </si>
  <si>
    <t xml:space="preserve">Beneficios + Plataforma (no afiliados) + Trabajadores</t>
  </si>
  <si>
    <t xml:space="preserve">FOETRA, FGB, SUPARA, UTHGRA, STIA, SIPREBA, UECARA, UTEDYC, UOMA, SOMU, COMERCIO</t>
  </si>
  <si>
    <t xml:space="preserve">FOETRA otorga préstamos y subsidios también a 'convencionados no afiliados' con montos menores ($350k vs $450k; $55k vs $70k); FGB cobra tarifas escalonadas según pertenencia sindicato/obra social/mutual; UECARA da ingreso gratis al afiliado y arancel a invitados y a beneficiarios de obra social no afiliados; SUPARA tiene 'socio adherente' para jubilados; UTHGRA y SiPreBA admiten monotributistas y freelance con cuota calculada sobre un salario de referencia y débito por CBU; UOMA acepta consultas legales de no afiliados; SOMU da camping gratis al afiliado más un invitado; el SEC tiene cuota reducida para jubilados.</t>
  </si>
  <si>
    <t xml:space="preserve">Cada beneficio, subsidio, tarifa, voucher o servicio admite valores por 'nivel de vínculo' (afiliado pleno, afiliado + entidad vinculada, adherente/jubilado, monotributista/freelance, registrado no afiliado, invitado). El nivel se deriva del padrón y de la estrategia de no afiliados ya decidida. La app muestra al no afiliado 'esto recibirías si te afiliás' con la diferencia concreta.</t>
  </si>
  <si>
    <t xml:space="preserve">Modela lo que FOETRA y UECARA hacen a mano: el beneficio como argumento de afiliación con montos visibles.
Encaja directo en la etapa de no afiliados sin inventar un módulo nuevo y suma monotributistas y jubilados.
Un solo catálogo, varios niveles; menos duplicación para el admin del sindicato.
Habilita cuota diferenciada de jubilados y adherentes, pedido frecuente de los gremios.</t>
  </si>
  <si>
    <t xml:space="preserve">FOETRA-1, FOETRA-16, FGB-9, SUPARA-2, SUPARA-11, UTHGRA-12, SIPREBA-1, UECARA-9, UTEDYC-4, UOMA-3, SOMU-5, COMERCIO-18</t>
  </si>
  <si>
    <t xml:space="preserve">P04</t>
  </si>
  <si>
    <t xml:space="preserve">Campañas con ventana: kits escolares, Día de la Niñez, colonias, torneos, cajas navideñas</t>
  </si>
  <si>
    <t xml:space="preserve">Nuevo módulo 'Campañas e inscripciones' (sobre Trámites y Notificaciones)</t>
  </si>
  <si>
    <t xml:space="preserve">CAMIONEROS, STIA, SUPARA, ACEITEROS, UATRE, FGB, UPJET, FOETRA, SUTEBA, PETROLEROS_PRIVADOS, UECARA, SGBATOS, SIPREBA, SETIA, AAA, STVyARA, SADOP, UOMA, SOESGyPE, STIHMPRA, SUTPA, ALEARA</t>
  </si>
  <si>
    <t xml:space="preserve">El kit escolar está en 30 de los 47 gremios y es el contenido más visitado en Camioneros (~30.000 visitas); STIA lo inscribe por web con login DNI + nro. de afiliado en una ventana fija (7/9 al 7/12); UECARA exige 'inscripción previa en la web' entre el 2/2 y el 13/3; SUPARA abre y cierra un micrositio anual; Camioneros ofrece 'consulta de estado de útiles'; SGBATOS asigna 550 becas secundarias; FOETRA inscribe talleres con Google Forms; hay colonias, torneos, Día de la Niñez, cajas de Navidad y Día del Textil con sorteos, casi todo con planillas en papel o en delegación.</t>
  </si>
  <si>
    <t xml:space="preserve">Campaña = formulario + ventana de fechas + elegibilidad (antigüedad, hijos en padrón por edad/nivel) + cupo + puntos de retiro por seccional. Estados por solicitud: solicitada → aprobada → lista para retirar (con QR) → entregada. Notificación automática al abrir la ventana y cuando está listo el retiro. Tablero de campaña con solicitudes, entregas y faltantes por seccional.</t>
  </si>
  <si>
    <t xml:space="preserve">Reemplaza Google Forms, planillas y mails con un flujo que el trabajador sigue desde la app hasta el retiro.
El sindicato controla cupos, stock por seccional y evita duplicados por hijo.
Sirve igual para kits, colonias, torneos, becas, talleres, cajas navideñas y sorteos.
Es el servicio de mayor tráfico anual en los sitios relevados: buen imán de uso de la app.</t>
  </si>
  <si>
    <t xml:space="preserve">CAMIONEROS-5, STIA-8, SUPARA-12, ACEITEROS-11, UATRE-9, FGB-13, UPJET-7, FOETRA-9, SUTEBA-11, STIA-13, PETROLEROS_PRIVADOS-9, UECARA-5, SGBATOS-8, SGBATOS-15, SGBATOS-16, SIPREBA-12, SETIA-13, SETIA-14, AAA-4, AAA-5, STVyARA-6, SADOP-12, UOMA-9, SOESGyPE-9, STIHMPRA-1, SUTPA-5, ALEARA-10</t>
  </si>
  <si>
    <t xml:space="preserve">P05</t>
  </si>
  <si>
    <t xml:space="preserve">Grupo familiar en el padrón, con documentación y vencimientos</t>
  </si>
  <si>
    <t xml:space="preserve">EXTENSION</t>
  </si>
  <si>
    <t xml:space="preserve">Trabajadores (ABM) + Afiliación</t>
  </si>
  <si>
    <t xml:space="preserve">SUTEBA, SMATA, STPCHPYA, SUTERH, STIA, ACEITEROS, SGBATOS, SSRA, UECARA, STIHMPRA, SOESGyPE</t>
  </si>
  <si>
    <t xml:space="preserve">La afiliación online de SUTEBA carga el grupo familiar con parentesco y DNI; SMATA usa un 'formulario 311' para agregar familiares; STIA exige que los hijos estén en el padrón para el kit; SOEA paga subsidios por 15 años de hija y 18 de hijo; SUTERH incorpora hijos mayores de 21 que estudian con negativa de ANSES; SGBATOS y SSRA emiten credencial también para familiares; UECARA limita invitados por grupo familiar; SOESGyPE recomienda verificar el grupo en ANSES.</t>
  </si>
  <si>
    <t xml:space="preserve">Alta y edición de familiares (cónyuge/conviviente, hijos con fecha de nacimiento, documentación y vencimientos como el certificado de alumno regular) desde la app del trabajador con aprobación del sindicato. Alimenta elegibilidad de subsidios, campañas, vouchers y reservas y dispara hitos automáticos. Nunca se usa en el motor de recibos.</t>
  </si>
  <si>
    <t xml:space="preserve">Sin grupo familiar no hay kits, subsidios por hijo ni invitados en hoteles: es la base de la mitad de los beneficios relevados.
El trabajador mantiene sus datos; el sindicato aprueba con la documentación adjunta.
Genera eventos automáticos (cumpleaños, edad escolar) que hoy nadie avisa.
Queda separado del motor de recibos, respetando la decisión de no sumar datos personales ahí.</t>
  </si>
  <si>
    <t xml:space="preserve">SUTEBA-1, SMATA-1, STPCHPYA-2, SUTERH-3, STIA-8, ACEITEROS-10, SGBATOS-1, SSRA-1, UECARA-9, STIHMPRA-4, SOESGyPE-1</t>
  </si>
  <si>
    <t xml:space="preserve">P06</t>
  </si>
  <si>
    <t xml:space="preserve">Crédito, anticipo de sueldo y ayuda financiera con simulador y conciliación en el recibo</t>
  </si>
  <si>
    <t xml:space="preserve">Trámites + Motor de recibos + Beneficios</t>
  </si>
  <si>
    <t xml:space="preserve">SUPARA, FOETRA, UF, SOEME, UTA, LYF, STPCHPYA, PETROLEROS_PRIVADOS, APOC, SSRA, ALEARA</t>
  </si>
  <si>
    <t xml:space="preserve">SUPARA otorga créditos de hasta $3,5M y anticipos de sueldo 100% online (formulario, recibo, certificado de retención, firma en pantalla, cuota informada); FOETRA deja que el afiliado proponga las cuotas y renueva al 50% pagado; APOC presta a tasa Banco Nación; SSRA suma crédito hipotecario vía FIDEC; UF, UTA, SOEME y Luz y Fuerza prestan con descuento por recibo o fondos propios; ALEARA financia bautismos, fiestas de 15 y ortodoncia; SUPARA financia turismo con débito en el recibo.</t>
  </si>
  <si>
    <t xml:space="preserve">Trámite 'Solicitud de crédito/anticipo' con simulador de cuota, planes definidos por el sindicato, carga de documentación, firma en pantalla y estado. Al aprobarse se registra el plan de cuotas y el motor de recibos verifica cada mes que el descuento 'préstamo sindical/mutual' coincida con la cuota prevista. Aviso al sindicato cuando la empresa no retuvo.</t>
  </si>
  <si>
    <t xml:space="preserve">Une un producto financiero muy común en los gremios con lo que Colm3na hace único: leer el recibo.
El trabajador simula, pide y firma desde el celular; el sindicato aprueba con la documentación ya cargada.
Cada recibo posterior confirma que la cuota se descontó bien: control automático de la cartera.
Encaja con la idea propia de 'crédito de bienvenida' para no afiliados.</t>
  </si>
  <si>
    <t xml:space="preserve">SUPARA-4, SUPARA-5, SUPARA-6, SUPARA-7, FOETRA-1, UF-10, SOEME-3, UTA-9, LYF-6, STPCHPYA-12, PETROLEROS_PRIVADOS-2, APOC-3, SSRA-6, SSRA-7, ALEARA-7</t>
  </si>
  <si>
    <t xml:space="preserve">P07</t>
  </si>
  <si>
    <t xml:space="preserve">Reintegros con lectura automática de la factura, puntuales y recurrentes</t>
  </si>
  <si>
    <t xml:space="preserve">Trámites + Extractor IA</t>
  </si>
  <si>
    <t xml:space="preserve">ACEITEROS, STPCHPYA, SOEME, UF, UTHGRA, APOC, SGBATOS, ALEARA, SSRA</t>
  </si>
  <si>
    <t xml:space="preserve">SOEA reintegra hasta $100.000 en anteojos y 50-100% en ortopedia con receta y factura; la Mutual 12 de Enero reintegra óptica, ortopedia y útiles; APOC reintegra la guardería todos los meses con factura y CBU (acumulable hasta 3 meses); SGBATOS reintegra jardín maternal a quien no usa los propios; ALEARA reintegra mudanza, plantillas y colonia; SSRA reintegra colonia; UTHGRA reintegra sepelios privados contra factura dentro del año.</t>
  </si>
  <si>
    <t xml:space="preserve">Tipo de trámite 'Reintegro' con rubros, topes por período y modalidad puntual o mensual recurrente. El trabajador fotografía la factura; el extractor lee CUIT del comercio, fecha, importe y detalle, valida contra tope y plazo y prellena la solicitud. El sindicato aprueba y registra el pago; el tablero muestra reintegros por rubro y seccional.</t>
  </si>
  <si>
    <t xml:space="preserve">Reutiliza el extractor de documentos para un trámite que hoy es 100% papel en los gremios que lo ofrecen.
El trabajador sabe al instante si la factura entra en tope y plazo antes de presentarla.
Suma el reintegro mensual recurrente (guardería) con acumulación, como hace APOC.
Es una vitrina barata de la IA de Colm3na fuera del recibo.</t>
  </si>
  <si>
    <t xml:space="preserve">ACEITEROS-14, STPCHPYA-14, SOEME-8, UF-9, UTHGRA-5, APOC-2, SGBATOS-11, ALEARA-6, SSRA-4</t>
  </si>
  <si>
    <t xml:space="preserve">P08</t>
  </si>
  <si>
    <t xml:space="preserve">Afiliación online con prellenado desde el recibo, chequeo de padrón y afiliación provisoria</t>
  </si>
  <si>
    <t xml:space="preserve">Plataforma (no afiliados) + Trámites + Credencial</t>
  </si>
  <si>
    <t xml:space="preserve">SUTEBA, SUTERH, UEJN, SUPARA, BANCARIA, UTHGRA, UTA, UTEDYC, ALEARA, SIPREBA, SADOP, FGB</t>
  </si>
  <si>
    <t xml:space="preserve">SUTEBA afilia 100% online con carga de DNI y recibo; UTEDYC afilia por CUIL con reanudación del trámite y observaciones; SUTERH inicia por WhatsApp/mail y entrega una 'afiliación provisoria' en PDF mientras valida; ALEARA y FGB ofrecen consulta de padrón por CUIL sin login como pre-chequeo; SiPreBA acepta freelance con prueba de trabajo; Bancaria, UTA y SADOP usan un lead form que termina en sede; UTHGRA centraliza todo en un Departamento Unificado de Afiliaciones.</t>
  </si>
  <si>
    <t xml:space="preserve">Flujo 'Quiero afiliarme' para el registrado no afiliado: chequeo público '¿estoy en el padrón?' por CUIL; sube su recibo (el extractor completa CUIL, empresa, CUIT, categoría, seccional por domicilio), DNI y firma en pantalla; el sindicato recibe el trámite con verificación previa y puede emitir una credencial provisoria con vigencia corta. Al aprobar se emite la credencial definitiva.</t>
  </si>
  <si>
    <t xml:space="preserve">Cierra el embudo de la estrategia de no afiliados: del validador gratuito a la afiliación en el mismo lugar.
El recibo ya leído evita tipear datos y da al sindicato una preverificación del empleador y la categoría.
La afiliación provisoria (idea de SUTERH) da un beneficio inmediato sin esperar la comisión directiva.
Trazabilidad de altas por seccional y por canal de origen para medir la campaña.</t>
  </si>
  <si>
    <t xml:space="preserve">SUTEBA-1, SUTERH-2, UEJN-1, SUPARA-1, BANCARIA-1, UTHGRA-1, UTA-1, UTEDYC-2, ALEARA-1, SIPREBA-1, SADOP-1, FGB-1</t>
  </si>
  <si>
    <t xml:space="preserve">P09</t>
  </si>
  <si>
    <t xml:space="preserve">Constancias autogeneradas con QR verificable (afiliado, alumno, empleador, familiar)</t>
  </si>
  <si>
    <t xml:space="preserve">Credencial + Trámites</t>
  </si>
  <si>
    <t xml:space="preserve">AEFIP, FGB, SUPARA, UPJET, SIPREBA, SADOP, UECARA, ADEF</t>
  </si>
  <si>
    <t xml:space="preserve">AEFIP exige pedir por mail un 'certificado de afiliado' para usar más de 30 convenios universitarios; FGB tiene consulta de padrón online para que empleadores verifiquen la condición; SUPARA, UPJET, SiPreBA, SADOP (becas UMET), UECARA (UTN 25%) y ADEF (UMET) también activan convenios educativos acreditando afiliación ante la institución.</t>
  </si>
  <si>
    <t xml:space="preserve">Botón 'Generar constancia' en la app: PDF con datos del afiliado, fecha, antigüedad y QR que lleva a la página pública de verificación ya usada por la credencial. Tipos configurables. Registro de constancias emitidas y de verificaciones.</t>
  </si>
  <si>
    <t xml:space="preserve">Elimina uno de los mails más repetidos hacia el sindicato con una función de un día de trabajo.
Los convenios con universidades e institutos pasan a activarse al instante desde la app.
La verificación por QR reutiliza lo construido para la credencial.
Da un uso concreto y frecuente a la credencial fuera del comercio adherido.</t>
  </si>
  <si>
    <t xml:space="preserve">AEFIP-3, AEFIP-12, FGB-1, SUPARA-19, UPJET-10, SIPREBA-9, SADOP-15, UECARA-13, ADEF-12</t>
  </si>
  <si>
    <t xml:space="preserve">P10</t>
  </si>
  <si>
    <t xml:space="preserve">Reclamo laboral tipificado con evidencia, un clic desde la discrepancia del recibo</t>
  </si>
  <si>
    <t xml:space="preserve">Trámites + Motor de recibos + Empleadores</t>
  </si>
  <si>
    <t xml:space="preserve">COMERCIO, SMATA, STIA, ACEITEROS, CAMIONEROS, UPSRA, SSRA, SPT, UOMA, SETIA</t>
  </si>
  <si>
    <t xml:space="preserve">El SEC ofrece formularios web tipificados: trabajo no registrado, horas extra impagas, adicional cajero, encuadramiento y falta de EPP; SMATA tiene canal anticorrupción anónimo; SSRA una casilla de violencia laboral; STIA publica protocolo; SETIA enruta la asesoría virtual por área con FAQ previo; UOMA acepta consultas legales de no afiliados; SPT tiene cuerpo de inspectores; Camioneros da una planilla de km para controlar el adicional.</t>
  </si>
  <si>
    <t xml:space="preserve">Catálogo de reclamos tipificados por convenio. Desde una discrepancia detectada en el recibo, el trabajador abre el reclamo con el recibo y el cálculo ya adjuntos; el sindicato agrupa reclamos por empresa y concepto y abre un trámite con el empleador desde el módulo Empleadores. Tipos no salariales (EPP, violencia laboral) con confidencialidad. Registro de horas/km como evidencia mensual.</t>
  </si>
  <si>
    <t xml:space="preserve">Es el 'para qué' del validador: la diferencia detectada se transforma en un reclamo formal sin volver a explicar nada.
El sindicato ve reclamos agrupados por empresa y concepto, y actúa colectivamente.
Suma tipos de reclamo no salariales (EPP, violencia laboral) con confidencialidad.
Usa trámites, empleadores y el motor existentes: es configuración y flujo, no un módulo nuevo.</t>
  </si>
  <si>
    <t xml:space="preserve">COMERCIO-9, COMERCIO-10, SMATA-11, STIA-6, ACEITEROS-3, CAMIONEROS-11, UPSRA-4, SSRA-14, SPT-4, UOMA-3, SETIA-4</t>
  </si>
  <si>
    <t xml:space="preserve">P11</t>
  </si>
  <si>
    <t xml:space="preserve">Mi delegado: directorio, asignación, mensajería y validaciones</t>
  </si>
  <si>
    <t xml:space="preserve">Trabajadores + Notificaciones + Seguridad/perfiles</t>
  </si>
  <si>
    <t xml:space="preserve">SUTERH, ATE, UEJN, SGBATOS, ADEF, APOC, SUPARA</t>
  </si>
  <si>
    <t xml:space="preserve">La app de SUTERH permite mensajes a delegados y autoridades y tiene buscador de delegados por zona; SGBATOS envía consultas a cada Secretaría desde la app; ADEF publica delegados por comuna; ATE explica el rol del delegado en su FAQ; UEJN tiene canal de consultas en la app; SUPARA exige firma del delegado en los subsidios; APOC tiene una 'Red de Trabajadores' entre organismos.</t>
  </si>
  <si>
    <t xml:space="preserve">Rol 'Delegado' en perfiles con alcance por empresa/establecimiento; el trabajador ve quién es su delegado y le escribe por el hilo tipo WhatsApp; el delegado ve a sus representados, sus reclamos y campañas, y puede validar pasos de trámites. Directorio público de delegados y de áreas/secretarías con enrutamiento de consultas.</t>
  </si>
  <si>
    <t xml:space="preserve">Lleva a la app la relación más importante del sindicato: la del trabajador con su delegado de planta.
El delegado deja de ser un teléfono y pasa a ser un rol con bandeja, alcance y métricas.
Reusa la seguridad granular por áreas y seccionales ya construida.
Habilita el paso 'visto del delegado' que varios gremios exigen en subsidios.</t>
  </si>
  <si>
    <t xml:space="preserve">SUTERH-1, SUTERH-9, ATE-6, UEJN-8, SGBATOS-2, ADEF-18, APOC-16, SUPARA-8</t>
  </si>
  <si>
    <t xml:space="preserve">P12</t>
  </si>
  <si>
    <t xml:space="preserve">Turnos para asesoría jurídica, previsional, contable, médico legista y servicios en sede</t>
  </si>
  <si>
    <t xml:space="preserve">Nuevo módulo 'Turnos' (ligado a Seccionales)</t>
  </si>
  <si>
    <t xml:space="preserve">STIA, UPSRA, FGB, ACEITEROS, COMERCIO, CAMIONEROS, SUTERH, APOC, SPT, AAA, UPJET, SOESGyPE</t>
  </si>
  <si>
    <t xml:space="preserve">Los abogados atienden en horarios fijos (STIA lunes 9:30-11:30, UPSRA martes y jueves, FGB 16 a 18:30, SOEA miércoles y viernes) con turno por WhatsApp o teléfono; APOC pide entrevista previa por teléfono; el SEC tramita DNI/pasaporte en sede y Camioneros tiene oficina ANSES adentro del gremio; UPJET y AAA asesoran sobre Ganancias; SOESGyPE ofrece peluquería y podología en sede; SUTERH muestra y cancela turnos desde su app.</t>
  </si>
  <si>
    <t xml:space="preserve">Agendas por servicio y sede con franjas, cupos y requisitos. Reserva y cancelación en la app, recordatorio, check-in con QR de la credencial y estadísticas de demanda por tema y seccional. Sirve también para servicios de terceros en sede (ANSES, RENAPER, ópticas).</t>
  </si>
  <si>
    <t xml:space="preserve">Los servicios presenciales más valorados (asesoría legal, previsional, contable) hoy dependen de un teléfono que suena.
Con turnos, el trabajador llega con la documentación correcta y el sindicato dimensiona la demanda.
Sirve también para servicios de terceros en sede (ANSES, DNI) que varios gremios ofrecen.
Módulo acotado y conocido; se integra con seccionales, credencial y notificaciones.</t>
  </si>
  <si>
    <t xml:space="preserve">STIA-5, UPSRA-10, FGB-4, ACEITEROS-15, COMERCIO-16, CAMIONEROS-14, SUTERH-1, APOC-4, SPT-4, AAA-7, UPJET-8, SOESGyPE-11</t>
  </si>
  <si>
    <t xml:space="preserve">P13</t>
  </si>
  <si>
    <t xml:space="preserve">Ruta jubilatoria: checklist previsional, años de aporte, aviso proactivo y pase a adherente</t>
  </si>
  <si>
    <t xml:space="preserve">Mis aportes + Trámites + Trabajadores</t>
  </si>
  <si>
    <t xml:space="preserve">SUPARA, LYF, BANCARIA, CAMIONEROS, UF, FGB, COMERCIO, UTEDYC, SGBATOS, SADOP, AEFIP</t>
  </si>
  <si>
    <t xml:space="preserve">UTEDYC recomienda contactar al departamento previsional 3 años antes de la edad jubilatoria y analiza la historia laboral; SUPARA publica requisitos, guía y acompaña el pase a la Caja Complementaria; SGBATOS tiene Caja Complementaria propia; Luz y Fuerza tiene la guía '¿Cómo me jubilo?'; Bancaria promueve la reafiliación del jubilado; SUPARA, UF, SADOP y AEFIP premian la jubilación con dinero y estadía; SEC y FGB tienen cuota diferenciada y agenda propia para jubilados.</t>
  </si>
  <si>
    <t xml:space="preserve">Sección 'Mi jubilación' que combina el semáforo de aportes con la edad para mostrar cuánto falta, un checklist de documentación y un trámite 'Iniciar jubilación con el sindicato' con turno previsional. Aviso proactivo a 3 años. Al jubilarse: cambio de estado a jubilado/adherente con cuota y beneficios propios y voucher de despedida.</t>
  </si>
  <si>
    <t xml:space="preserve">Da un uso de largo plazo al módulo de aportes: no solo controla el mes, proyecta la jubilación.
El trabajador entiende su situación previsional sin ir a la sede; el sindicato retiene al jubilado como adherente.
Junta asesoría, aviso proactivo, trámite, turno y beneficio de jubilación en un solo recorrido.
Tema universal en los 47 sitios, con muy pocas soluciones digitales.</t>
  </si>
  <si>
    <t xml:space="preserve">SUPARA-16, SUPARA-2, SUPARA-15, SUPARA-17, LYF-10, BANCARIA-9, CAMIONEROS-14, UF-7, FGB-16, COMERCIO-18, UTEDYC-8, SGBATOS-19, SADOP-14, AEFIP-9</t>
  </si>
  <si>
    <t xml:space="preserve">P14</t>
  </si>
  <si>
    <t xml:space="preserve">Calculadoras públicas: sueldo por convenio, vacaciones, SAC, liquidación final e indemnización</t>
  </si>
  <si>
    <t xml:space="preserve">Plataforma (no afiliados) + Fórmulas/Conceptos</t>
  </si>
  <si>
    <t xml:space="preserve">SUTEBA, UPACP, UOM, SMATA, CAMIONEROS, STIA, UPJET, ADEF, UOMA, SOESGyPE, SIPREBA, UECARA, SPT</t>
  </si>
  <si>
    <t xml:space="preserve">SUTEBA tiene calculadora de haberes docente; ADEF publica dos simuladores (liquidación de haberes y vacaciones) en un subdominio 'app'; UOMA simula por provincia, localidad, categoría y antigüedad; UPACP ofrece una calculadora anónima con feriados, vacaciones, SAC, liquidación final e indemnización, con descarga y aviso de validez orientativa; UOM, SMATA, STIA, SOESGyPE (8 convenios), SiPreBA y UECARA publican escalas por rama/cámara/antigüedad en PDF sin buscador; Camioneros da planilla de km; UPJET separa actas por empresa.</t>
  </si>
  <si>
    <t xml:space="preserve">Herramienta pública (sin login, gancho para no afiliados) que usa las escalas por categoría y fórmulas ya cargadas por el sindicato: elegís convenio, rama/empresa, categoría, antigüedad, horas extra/km y obtenés bruto, descuentos de ley y neto estimado; modos 'vacaciones', 'SAC' y 'liquidación final e indemnización'. Resultado descargable con marca del sindicato y llamado a validar el recibo real en la app.</t>
  </si>
  <si>
    <t xml:space="preserve">Convierte las escalas que ya viven en Colm3na en un producto abierto, como recomendaba el informe de no afiliados.
Cubre el pedido implícito de UOM, SMATA, STIA y SOESGyPE: buscador por rama y categoría en vez de PDFs.
La liquidación final e indemnización (UPACP) y el simulador de vacaciones (ADEF) son las consultas más buscadas.
Cada cálculo termina en 'subí tu recibo': embudo directo al validador.</t>
  </si>
  <si>
    <t xml:space="preserve">SUTEBA-2, UPACP-1, UOM-1, SMATA-2, CAMIONEROS-9, CAMIONEROS-11, STIA-3, UPJET-3, ADEF-1, ADEF-2, UOMA-1, SOESGyPE-3, SIPREBA-3, UECARA-3, SPT-5</t>
  </si>
  <si>
    <t xml:space="preserve">P15</t>
  </si>
  <si>
    <t xml:space="preserve">¿Mi empresa depositó mi cuota? Control de aportes sindicales retenidos vs. pagados, libre deuda e inspección</t>
  </si>
  <si>
    <t xml:space="preserve">Empleadores + Mis aportes + Panel Sindical</t>
  </si>
  <si>
    <t xml:space="preserve">SUTERH, CAMIONEROS, COMERCIO, UOM, SMATA, STIA, UTHGRA, FGB, SOEME, UPSRA, ACEITEROS, SPT, SETIA, ADEF, SADOP, UTEDYC, ALEARA, UECARA, SSRA, UOMA, STIHMPRA, SOESGyPE, SOMU, AAPM</t>
  </si>
  <si>
    <t xml:space="preserve">SUTERH/FATERYH muestran al trabajador los aportes que el consorcio declaró; 25 de los 47 gremios tienen portal de boletas/DDJJ para empresas (Camioneros suma libre deuda y pago por CBU; SPT exige libre deuda de aportes por dominio para transferir licencias de taxi; UTEDYC tiene tickets de soporte para empresas; SETIA publica la lista de inspectores habilitados y un formulario para que la empresa pida inspección). Ninguno cruza esa información con lo que el trabajador ve en su recibo.</t>
  </si>
  <si>
    <t xml:space="preserve">El sindicato carga o importa las boletas/pagos de cuota sindical por empresa y período. El motor de recibos ya sabe qué cuota se le retuvo a cada trabajador; el cruce muestra en 'Mis aportes' un semáforo de cuota sindical (retenida y depositada / retenida y no depositada / sin retención) y en el Panel un ranking de empresas con retenciones no depositadas, libre deuda por empresa y trámite al empleador en un clic. Inspectores con credencial verificable.</t>
  </si>
  <si>
    <t xml:space="preserve">Extiende el semáforo de aportes (ARCA) a la cuota sindical, que es el dato que más le importa al sindicato.
Detecta la retención indebida: la empresa descuenta pero no deposita, invisible hoy para todos.
Aprovecha el módulo Empleadores y la lectura de recibos; solo agrega la carga de pagos por empresa.
Argumento comercial fuerte: mejora la recaudación del sindicato, no solo el servicio al afiliado.</t>
  </si>
  <si>
    <t xml:space="preserve">SUTERH-10, CAMIONEROS-22, COMERCIO-20, UOM-4, SMATA-3, STIA-14, UTHGRA-9, FGB-3, SOEME-10, UPSRA-4, ACEITEROS-6, SPT-1, SPT-2, SETIA-8, SETIA-9, ADEF-5, SADOP-3, UTEDYC-14, ALEARA-3, UECARA-2, SSRA-18, UOMA-16, STIHMPRA-7, SOESGyPE-5, SOMU-7, AAPM-7</t>
  </si>
  <si>
    <t xml:space="preserve">P16</t>
  </si>
  <si>
    <t xml:space="preserve">Enlaces públicos y QR por trámite, campaña o beneficio para difusión</t>
  </si>
  <si>
    <t xml:space="preserve">Trámites + Campañas + Noticias</t>
  </si>
  <si>
    <t xml:space="preserve">SUPARA, SUTEBA, ACEITEROS, FOETRA, ALEARA, ADEF, APOC, STVyARA</t>
  </si>
  <si>
    <t xml:space="preserve">SUPARA publica un micrositio por trámite (matrimonio., nacimiento., apoyoescolar.supara.org.ar) fácil de difundir por WhatsApp; ADEF agrupa herramientas bajo app.adef.org.ar; ALEARA separa sitios por público (afiliado / empleador / turismo); APOC usa una landing por beneficio; SUTEBA arma un hub de aplicaciones; Aceiteros, FOETRA y STVyARA reparten Google Forms y flyers por redes.</t>
  </si>
  <si>
    <t xml:space="preserve">Cada trámite, campaña, encuesta, curso o beneficio tiene un enlace corto y un QR con la marca del sindicato que lleva directo a ese punto de la app (con login o registro previo). El admin los copia desde el panel y los inserta en noticias, WhatsApp y cartelería; el panel mide accesos por enlace y origen.</t>
  </si>
  <si>
    <t xml:space="preserve">Cubre el problema de difusión que plantean los sindicatos: un solo link por acción, no 'bajate la app y buscá'.
Permite cartelería con QR en plantas y sedes para afiliados y no afiliados.
Casi sin desarrollo: rutas profundas, landings mínimas y medición.
Refuerza el consejo de marketing del informe de no afiliados.</t>
  </si>
  <si>
    <t xml:space="preserve">SUPARA-4, SUPARA-12, SUTEBA-14, ACEITEROS-2, FOETRA-9, ALEARA-3, ADEF-1, APOC-2, STVyARA-11</t>
  </si>
  <si>
    <t xml:space="preserve">P17</t>
  </si>
  <si>
    <t xml:space="preserve">Asistente omnicanal: bot de convenio por WhatsApp y web, con FAQ previo, derivación por área y consultas de no afiliados</t>
  </si>
  <si>
    <t xml:space="preserve">Bot conversacional (planificado) + Notificaciones + Trámites</t>
  </si>
  <si>
    <t xml:space="preserve">UTHGRA, SUTERH, COMERCIO, STPCHPYA, UPSRA, SOEME, STIA, ADEF, SETIA, UOMA, UTEDYC, SGBATOS</t>
  </si>
  <si>
    <t xml:space="preserve">UTHGRA sostiene un 0800 24x7 con ~1.100 llamadas diarias de orientación; ADEF tiene 'ADEF Responde' 24 hs por web/0800/WhatsApp; SUTERH tiene chat web y WhatsApp con menú numerado por área; SETIA obliga a leer la FAQ antes de la asesoría virtual y enruta por área; UOMA acepta consultas legales de no afiliados; SGBATOS envía consultas a cada Secretaría desde la app; el SEC separa WhatsApp gremial/jurídico.</t>
  </si>
  <si>
    <t xml:space="preserve">El bot ya planificado (convenio, condiciones, información del gremio) se expone también por WhatsApp Business y por el chat web público; cuando no puede resolver, abre un trámite o deriva al área con el historial adjunto. Menú por área, FAQ que carga el sindicato, respuestas a no afiliados con contenido acotado y tablero de temas, canales y horarios.</t>
  </si>
  <si>
    <t xml:space="preserve">Toma el caso UTHGRA: un 'COA' que atiende 24x7 sin call center, con la información que el sindicato ya carga.
WhatsApp es el canal donde ya están los trabajadores; el bot los trae a la app cuando hace falta un trámite.
Amplía el plan del bot sin cambiar su núcleo: canales, enrutamiento por área y derivación.
Las estadísticas de temas alimentan noticias, encuestas y capacitación.</t>
  </si>
  <si>
    <t xml:space="preserve">UTHGRA-3, SUTERH-8, COMERCIO-10, STPCHPYA-19, UPSRA-16, SOEME-11, STIA-15, ADEF-4, SETIA-4, SETIA-5, UOMA-3, UTEDYC-12, SGBATOS-2</t>
  </si>
  <si>
    <t xml:space="preserve">P18</t>
  </si>
  <si>
    <t xml:space="preserve">Onboarding 'cómo funciona tu sindicato', FAQ viva y biblioteca abierta del rubro</t>
  </si>
  <si>
    <t xml:space="preserve">App del trabajador + Bot + Noticias</t>
  </si>
  <si>
    <t xml:space="preserve">ATE, SUTERH, UPACP, STPCHPYA, SETIA, SIPREBA, SADOP, AAPM, UTEDYC, ADEF</t>
  </si>
  <si>
    <t xml:space="preserve">ATE explica qué hace un delegado y qué es una paritaria; SUTERH, SETIA y UPACP tienen FAQ que reducen consultas; SiPreBA produjo una 'Caja de Herramientas' de 7 videos de derechos laborales; SADOP publica materiales didácticos abiertos; AAPM una guía 'lo que todo APM debe conocer' y leyes de 15 provincias; UTEDYC un manual de teletrabajo; ADEF videos técnicos abiertos a todo el sector.</t>
  </si>
  <si>
    <t xml:space="preserve">Pantallas de bienvenida configurables por sindicato y sección FAQ editable desde el panel que también alimenta al bot. Biblioteca abierta del rubro (guías, videos, convenio comentado, materiales profesionales) visible para no afiliados como servicio de bienvenida. Métricas de lectura.</t>
  </si>
  <si>
    <t xml:space="preserve">Baja el costo de explicar el sindicato a cada nuevo afiliado o no afiliado registrado.
Mismo contenido para la app, el bot y la web de difusión.
Muy bajo esfuerzo sobre Noticias y el módulo de bot; los videos de SiPreBA son el modelo.
Recomendado como parte del kit de despliegue en el primer sindicato.</t>
  </si>
  <si>
    <t xml:space="preserve">ATE-6, SUTERH-14, UPACP-11, STPCHPYA-2, SETIA-5, SIPREBA-5, SADOP-9, AAPM-4, UTEDYC-13, ADEF-13</t>
  </si>
  <si>
    <t xml:space="preserve">P19</t>
  </si>
  <si>
    <t xml:space="preserve">Credencial: modo verificador para prestadores, credencial familiar y multi-entidad, anti-captura</t>
  </si>
  <si>
    <t xml:space="preserve">Credencial + Beneficios + Panel Sindical</t>
  </si>
  <si>
    <t xml:space="preserve">UTA, AEFIP, COMERCIO, SUTEBA, UEJN, UATRE, SSRA, SGBATOS, STPCHPYA, UTHGRA, SETIA, SADOP, UTEDYC, SOESGyPE</t>
  </si>
  <si>
    <t xml:space="preserve">Dieciséis gremios ya tienen credencial digital, pero ninguno tiene el verificador del otro lado. SSRA muestra tres credenciales (sindicato, obra social, mutual) con QR, bloqueo de capturas y PIN; SGBATOS emite credencial también para familiares; SOESGyPE exige carnet sindical y de mutual; UTA da acceso gratuito a predios con credencial; AEFIP tiene ~30 comercios que la exigen; UATRE creó una plataforma de beneficios con registro; ninguno sabe cuántas veces se usó cada beneficio.</t>
  </si>
  <si>
    <t xml:space="preserve">Página/mini-app para el prestador (sin instalar nada): escanea el QR dinámico, ve 'vigente' y el beneficio aplicable, registra el uso. Credencial de familiares y de entidades vinculadas (mutual) dentro de la misma app, con anti-captura y PIN. El Panel muestra usos por beneficio, comercio, seccional y período, y permite cupos.</t>
  </si>
  <si>
    <t xml:space="preserve">La credencial con QR ya existe; falta el otro lado: quien la verifica y registra.
El sindicato pasa de 'tenemos 30 convenios' a saber cuáles se usan y renegociar con datos.
Suma credencial familiar, de mutual y anti-captura, lo que ya hacen SSRA y SGBATOS.
Base para vouchers, reservas, turnos y campañas con retiro por QR.</t>
  </si>
  <si>
    <t xml:space="preserve">UTA-4, AEFIP-10, COMERCIO-3, SUTEBA-7, UEJN-4, UATRE-3, SSRA-1, SGBATOS-1, STPCHPYA-1, UTHGRA-2, SETIA-1, SADOP-2, UTEDYC-1, SOESGyPE-2</t>
  </si>
  <si>
    <t xml:space="preserve">P20</t>
  </si>
  <si>
    <t xml:space="preserve">Reservas automáticas o semiautomáticas: inventario, vacantes y reglas para turismo, predios, salones y recursos</t>
  </si>
  <si>
    <t xml:space="preserve">Trámites (formularios encadenados) + Beneficios + Seccionales + Credencial</t>
  </si>
  <si>
    <t xml:space="preserve">SUTERH, SUTEBA, COMERCIO, PETROLEROS_PRIVADOS, UPSRA, FGB, STIA, UTHGRA, SUPARA, UATRE, LYF, UOM, SMATA, UF, ATE, AEFIP, CAMIONEROS, UTA, BANCARIA, STPCHPYA, UPJET, FOETRA, UEJN, SOEME, UTEDYC, SETIA, ADEF, SOMU, UECARA, SGBATOS, SSRA, AAPM, SIPREBA, ACEITEROS, APOC, SPT, ALEARA, SUTPA, STIHMPRA, UOMA, SADOP, AAA, SOESGyPE, STVyARA, FOECYT</t>
  </si>
  <si>
    <t xml:space="preserve">Es el servicio presente en los 47 sitios: hoteles, campings, colonias, predios, salones. Solo 7 reservan online (SUTERH con reglas: 2 invitados, pago 30 días antes, no show = una noche; SUTEBA; SEC clubes; UTEDYC con pago de invitados en la app; SETIA; Petroleros salón con 60 días de anticipación y 1 reserva anual; UPSRA Campo Evita). ADEF describe un circuito claro (web → WhatsApp → seña 48 hs → cuotas → voucher); AAPM exige un formato de datos por mail; FGB cobra en cuotas y por nivel de vínculo; STIA PBA da días según antigüedad; SOMU camping gratis + 1 invitado; UECARA invitados arancelados; SiPreBA presta kits de protección y SOEA sillas y tablones con reglas de devolución. Los sindicatos quieren conservar un grado de intervención.</t>
  </si>
  <si>
    <t xml:space="preserve">Colm3na ya cubre la reserva de forma semiautomática con formularios encadenados: solicitud → confirmación de disponibilidad por el sindicato → registro en el hotel o predio. La propuesta agrega, para el sindicato que lo quiera y con bajo esfuerzo de carga, inventario de recursos y vacantes por fecha, tarifario por nivel de vínculo, reglas de elegibilidad (antigüedad, cupo anual, invitados) y confirmación automática o semiautomática, con check-in por QR y tablero de ocupación.</t>
  </si>
  <si>
    <t xml:space="preserve">Turismo social es el beneficio más universal y el menos digitalizado: 40 de 47 gremios reservan por teléfono o mail.
Colm3na ya lo cubre con formularios encadenados y aprobación del sindicato; con recursos y vacantes cargados pasa a automático o semiautomático a elección del gremio.
Se alimenta de padrón, grupo familiar, credencial y vouchers previstos en otras propuestas; suma recursos prestables.
Bajo esfuerzo de carga para el sindicato y sin obligar a ceder el control que hoy quiere conservar.</t>
  </si>
  <si>
    <t xml:space="preserve">SUTERH-4, SUTEBA-4, COMERCIO-4, PETROLEROS_PRIVADOS-8, UPSRA-12, FGB-9, STIA-11, STIA-12, UTHGRA-6, SUPARA-7, UATRE-5, LYF-9, UOM-5, SMATA-4, UF-12, ATE-9, AEFIP-4, CAMIONEROS-15, UTA-2, BANCARIA-5, STPCHPYA-15, UPJET-13, FOETRA-5, UEJN-6, UTEDYC-4, UTEDYC-5, SETIA-3, ADEF-6, SOMU-4, SOMU-5, UECARA-9, SGBATOS-5, SSRA-3, AAPM-3, SIPREBA-7, ACEITEROS-16, SUTEBA-14, APOC-7, SPT-8, ALEARA-12, SUTPA-7, STIHMPRA-6, UOMA-8, SADOP-16, AAA-13, SOESGyPE-15, STVyARA-8, FOECYT-1</t>
  </si>
  <si>
    <t xml:space="preserve">P21</t>
  </si>
  <si>
    <t xml:space="preserve">Comunidad del rubro: bolsa de trabajo, semillero de institutos y feria de emprendedores</t>
  </si>
  <si>
    <t xml:space="preserve">Nuevo módulo 'Comunidad' (Plataforma no afiliados + Beneficios + Empleadores)</t>
  </si>
  <si>
    <t xml:space="preserve">UPACP, SUTEBA, UTHGRA, UPSRA, SUTERH, AAA, AAPM, SOMU, UTEDYC, ADEF, SPT</t>
  </si>
  <si>
    <t xml:space="preserve">UPACP intermedia laboralmente entre trabajadoras afiliadas y empleadores (presencial); UTHGRA tiene programas de inserción; los institutos de Aeronavegantes (IFPA), AAPM (carrera de APM), SOMU (STCW), UTEDYC (guardavidas), ADEF (auxiliar de farmacia) y UPSRA (vigilador) forman a personas que todavía no son afiliadas; SUTEBA organiza ferias de emprendedores afiliados; SPT administra el curso obligatorio anual de todos los taxistas.</t>
  </si>
  <si>
    <t xml:space="preserve">Bolsa de trabajo del rubro: empresas del padrón publican búsquedas por categoría y zona; trabajadores (afiliados y registrados) postulan con un perfil mínimo; el sindicato modera. Semillero: los alumnos de los institutos del gremio se registran como no afiliados con seguimiento hasta su primer recibo. Vitrina de emprendimientos de afiliados. Todo abierto como servicio de bienvenida.</t>
  </si>
  <si>
    <t xml:space="preserve">Responde a la pregunta de los sindicatos: qué ofrecerle a un no afiliado que no conoce a nadie del gremio.
Usa el padrón de empresas que Colm3na ya administra para publicar búsquedas reales del rubro.
Los institutos del gremio (vigiladores, gastronómicos, farmacia, marítimos) son un semillero de afiliados sin seguimiento hoy.
Moderable y acotado; no requiere pagos ni matching complejo en su primera versión.</t>
  </si>
  <si>
    <t xml:space="preserve">UPACP-6, SUTEBA-10, UTHGRA-7, UPSRA-14, SUTERH-11, AAA-11, AAPM-1, SOMU-1, UTEDYC-7, ADEF-11, SPT-3</t>
  </si>
  <si>
    <t xml:space="preserve">P22</t>
  </si>
  <si>
    <t xml:space="preserve">Capacitación: catálogo de cursos, convenios educativos, contenido abierto, inscripción y certificados con QR</t>
  </si>
  <si>
    <t xml:space="preserve">Capacitación (pestaña 'próximamente')</t>
  </si>
  <si>
    <t xml:space="preserve">CTERA, ATE, UEJN, UPSRA, UPACP, AEFIP, UPJET, FGB, UF, COMERCIO, STPCHPYA, LYF, FOETRA, UECARA, SOMU, STVyARA, ADEF, APOC, SSRA, UTEDYC, AAA, SIPREBA</t>
  </si>
  <si>
    <t xml:space="preserve">CTERA ofrece cursos abiertos sin inscripción; ATE y UEJN tienen campus Moodle; UECARA dicta +30 cursos híbridos (presencial + clase en vivo) con diploma UTN, preinscripción online, mínimo de inscriptos y arancel para afiliados; SOMU inscribe online a cursos STCW; STVyARA forma en maquinaria vial por distrito; UPSRA en vigilancia; UPACP y UF dan terminalidad; AEFIP dicta seminarios por Zoom; UPJET enseña Ganancias; SSRA tiene una fundación de IA con cursos gratuitos abiertos; AAA idiomas gratis; hay decenas de convenios universitarios activados por certificado.</t>
  </si>
  <si>
    <t xml:space="preserve">Primera versión de Capacitación sin LMS propio: catálogo de cursos propios y por convenio con inscripción (campaña con cupo y mínimo), enlaces a campus externos, calendario de clases por Zoom, materiales abiertos para no afiliados, certificado de asistencia con QR y arancel diferenciado por nivel. Segmentación por seccional y categoría; estadísticas en el Panel.</t>
  </si>
  <si>
    <t xml:space="preserve">Convierte la pestaña 'próximamente' en algo concreto sin un LMS: catálogo, inscripción, enlaces y certificados.
La formación habilitante (vigilador, manipulación de alimentos, STCW, RCP) es un gancho fuerte para no afiliados.
Los convenios educativos se activan con la constancia autogenerada; el arancel varía por nivel de vínculo.
Reutiliza campañas, notificaciones y credencial; esfuerzo bajo para el valor percibido.</t>
  </si>
  <si>
    <t xml:space="preserve">CTERA-1, ATE-11, UEJN-7, UPSRA-14, UPACP-5, AEFIP-13, UPJET-9, FGB-14, UF-14, COMERCIO-13, STPCHPYA-17, LYF-3, FOETRA-10, UECARA-12, SOMU-3, STVyARA-10, ADEF-11, APOC-14, SSRA-8, UTEDYC-6, AAA-10, SIPREBA-8</t>
  </si>
  <si>
    <t xml:space="preserve">P23</t>
  </si>
  <si>
    <t xml:space="preserve">Habilitantes del oficio con vencimiento: libreta sanitaria, psicofísico, STCW, curso anual, matrícula</t>
  </si>
  <si>
    <t xml:space="preserve">Trabajadores + Notificaciones + Trámites + Capacitación</t>
  </si>
  <si>
    <t xml:space="preserve">CAMIONEROS, UPSRA, UTHGRA, ACEITEROS, SOMU, SPT, AAA, STVyARA, UTEDYC</t>
  </si>
  <si>
    <t xml:space="preserve">Camioneros gestiona el psicofísico para la licencia LiNTI con turnos y arancel; SOMU dicta los cursos STCW obligatorios para embarcar; SPT administra el curso anual obligatorio de los taxistas con turno asignado por dígito de DNI y gestiona el certificado de reincidencia; UPSRA forma para la matrícula del vigilador; Aeronavegantes cubre la pérdida de aptitud psicofísica; gastronómicos necesitan libreta sanitaria; UTEDYC certifica guardavidas. Nadie avisa al trabajador cuándo vence lo que necesita para trabajar.</t>
  </si>
  <si>
    <t xml:space="preserve">El sindicato define los 'habilitantes' de su rubro (documento, vigencia, dónde se renueva, costo, convenio). El trabajador carga el suyo con foto y fecha (el extractor lee la fecha de vencimiento); la app recuerda 60/30/7 días antes y ofrece el turno, el curso o el trámite para renovarlo. El Panel muestra habilitantes vencidos por empresa.</t>
  </si>
  <si>
    <t xml:space="preserve">Un servicio útil todos los meses para camioneros, vigiladores, gastronómicos, marítimos y taxistas, no solo cuando hay conflicto.
El recordatorio de vencimiento es una razón concreta para tener la app instalada.
El sindicato detecta empresas con personal sin habilitantes vigentes y vende sus cursos en el momento justo.
Sencillo: una tabla de documentos con vigencia, lectura de fecha y notificaciones programadas.</t>
  </si>
  <si>
    <t xml:space="preserve">CAMIONEROS-13, UPSRA-14, UTHGRA-7, ACEITEROS-19, SOMU-1, SPT-3, SPT-6, AAA-9, STVyARA-10, UTEDYC-7</t>
  </si>
  <si>
    <t xml:space="preserve">P24</t>
  </si>
  <si>
    <t xml:space="preserve">Bonos virtuales, gift cards, tienda de la mutual y productos financiados como tipos de beneficio</t>
  </si>
  <si>
    <t xml:space="preserve">Beneficios + Trámites</t>
  </si>
  <si>
    <t xml:space="preserve">UTA, UPJET, UF, STPCHPYA, SMATA, SOEME, UATRE, ADEF, SUTPA, SGBATOS, AAA</t>
  </si>
  <si>
    <t xml:space="preserve">Mutual UTA emite 'bonos virtuales' de consumo; UPJET regala gift cards multimarca por hijo; AMUF, ADEF y SUTPA operan tiendas online de la mutual (electro, útiles, alimentos) financiables con préstamo o descuento; Pasteleros y SMATA tienen programas de electrodomésticos y compras (Diggit); SOEME terceriza un club de beneficios; SUTPA y SGBATOS dejan elegir el producto del set de nacimiento; UATRE sortea beneficios online.</t>
  </si>
  <si>
    <t xml:space="preserve">Tipos de beneficio adicionales al descuento: bono/código único canjeable (integrable con gift cards de terceros), producto con elección y financiación por recibo (pedido → aprobación → cuotas, control con P06), catálogo de proveeduría (propio o de la mutual) y sorteo con inscripción y resultado auditable. Emisión y canje por QR.</t>
  </si>
  <si>
    <t xml:space="preserve">Generaliza el carrusel de beneficios a cosas que se emiten, se eligen, se financian y se agotan.
Incluye el sorteo, que ya estaba en las ideas propias, con trazabilidad.
La proveeduría financiada usa el mismo control de cuotas en el recibo del crédito.
Permite integrar programas de terceros (365, Club de Beneficios, gift cards) sin perder los datos de uso.</t>
  </si>
  <si>
    <t xml:space="preserve">UTA-10, UPJET-7, UF-11, STPCHPYA-13, SMATA-9, SOEME-4, UATRE-4, ADEF-15, SUTPA-1, SGBATOS-13, AAA-6, SUTPA-4</t>
  </si>
  <si>
    <t xml:space="preserve">P25</t>
  </si>
  <si>
    <t xml:space="preserve">Observatorio salarial y del rubro en el Panel (desde recibos anonimizados) e indicadores externos</t>
  </si>
  <si>
    <t xml:space="preserve">Panel Sindical + Plataforma</t>
  </si>
  <si>
    <t xml:space="preserve">BANCARIA, COMERCIO, ACEITEROS, AAPM, UOMA</t>
  </si>
  <si>
    <t xml:space="preserve">La Bancaria mantiene un tablero de deudores con datos del BCRA; FAECYS publica informes de canasta básica para sustentar paritarias; AAPM sostiene un Observatorio de Medicamentos con banco de precios; Aceiteros produce estadísticas de salud laboral; UOMA publica salarios por provincia y localidad.</t>
  </si>
  <si>
    <t xml:space="preserve">Vista del Panel que agrega recibos validados (anonimizados, con mínimos por celda) en indicadores: básico observado vs. escala por categoría y empresa, adicionales más frecuentes, incidencia de no remunerativos, diferencias detectadas por mes, mapa por seccional; exportable para paritarias. Series externas (canasta, inflación) cargadas por la plataforma para todos los sindicatos; uso anónimo de las calculadoras (P14) como termómetro de demanda.</t>
  </si>
  <si>
    <t xml:space="preserve">Da al sindicato el argumento paritario que FAECYS, Bancaria y AAPM construyen a mano, a partir de datos que Colm3na ya tiene.
El explorador de datos existente se orienta a preguntas concretas de negociación.
La plataforma puede ofrecer series comunes a todos los inquilinos.
Cuidado con la anonimización y los mínimos por celda: definir umbrales.</t>
  </si>
  <si>
    <t xml:space="preserve">BANCARIA-14, COMERCIO-19, ACEITEROS-3, AAPM-6, UOMA-1</t>
  </si>
  <si>
    <t xml:space="preserve">P26</t>
  </si>
  <si>
    <t xml:space="preserve">Red entre sindicatos de la plataforma: beneficios, alojamientos y predios compartidos</t>
  </si>
  <si>
    <t xml:space="preserve">Plataforma (multi-sindicato) + Beneficios + Reservas</t>
  </si>
  <si>
    <t xml:space="preserve">CTERA, COMERCIO, UOM, AEFIP, SUPARA, AAA, FOECYT, SADOP, ADEF</t>
  </si>
  <si>
    <t xml:space="preserve">CTERA y FAECYS agregan el catálogo de casas y hoteles de sus sindicatos miembro y redirigen la reserva al que lo administra; UOM y AEFIP tienen convenios con hoteles y campos de otros gremios (AOTRA, SUTERH); SUPARA usa el centro deportivo de SUTERH; Aeronavegantes reserva en el hotel de SUTPA; SADOP y ADEF usan la universidad de SUTERH (UMET); las federaciones (FOECYT, CTERA) derivan a sindicatos provinciales.</t>
  </si>
  <si>
    <t xml:space="preserve">Un sindicato publica beneficios, hoteles, predios o cursos como 'compartibles' con tarifa para afiliados de otros sindicatos de Colm3na; el otro los acepta y aparecen en su catálogo con la marca del oferente. La verificación de credencial funciona entre inquilinos con consentimiento; liquidación de usos entre sindicatos en el Panel de plataforma. Modo 'federación' que agrega los catálogos de sus sindicatos de base.</t>
  </si>
  <si>
    <t xml:space="preserve">Es el beneficio de ser multi-sindicato que ningún gremio puede construir solo.
Una federación o un grupo de gremios chicos gana catálogo sin inversión.
Argumento de venta para el segundo y tercer sindicato: 'entrás y ya tenés 12 hoteles'.
Requiere reglas claras de aislamiento y consentimiento entre inquilinos.</t>
  </si>
  <si>
    <t xml:space="preserve">CTERA-5, CTERA-6, COMERCIO-7, UOM-7, AEFIP-10, SUPARA-20, AAA-12, FOECYT-5, SADOP-15, ADEF-12</t>
  </si>
  <si>
    <t xml:space="preserve">P27</t>
  </si>
  <si>
    <t xml:space="preserve">Notificaciones también por WhatsApp y mail, y canal de difusión oficial</t>
  </si>
  <si>
    <t xml:space="preserve">Notificaciones + Noticias</t>
  </si>
  <si>
    <t xml:space="preserve">FGB, SOEME, STPCHPYA, SUTERH, UF, UECARA, SUTPA, AAPM, STVyARA, UTEDYC</t>
  </si>
  <si>
    <t xml:space="preserve">FGB tiene canal oficial de WhatsApp; SOEME, Pasteleros, SUTERH, UECARA, AAPM y STVyARA usan WhatsApp como puerta de entrada principal; SUTPA recibe altas por foto en WhatsApp; UF y UTEDYC ofrecen newsletter. Las notificaciones segmentadas de Colm3na hoy viven dentro de la app.</t>
  </si>
  <si>
    <t xml:space="preserve">Canal de salida adicional para notificaciones segmentadas (mail y WhatsApp Business API o canal de difusión) con el mismo segmentador, enlace profundo al contenido y lectura registrada. El trabajador elige canales en su perfil; el sindicato define qué tipos salen por cada canal y con qué presupuesto.</t>
  </si>
  <si>
    <t xml:space="preserve">Lleva el mensaje a donde el trabajador ya está, sobre todo al no afiliado que aún no instaló la app.
Misma segmentación y trazabilidad que las notificaciones actuales.
Mail gratis como primer paso; WhatsApp con presupuesto por sindicato.
Complementa al bot por WhatsApp (P17) usando el mismo número.</t>
  </si>
  <si>
    <t xml:space="preserve">FGB-18, SOEME-11, STPCHPYA-19, SUTERH-8, UF-15, UECARA-14, SUTPA-2, AAPM-8, STVyARA-11, UTEDYC-11</t>
  </si>
  <si>
    <t xml:space="preserve">P28</t>
  </si>
  <si>
    <t xml:space="preserve">Mi sede: seccional asignada, más cercana, qué resuelve y cómo llegar</t>
  </si>
  <si>
    <t xml:space="preserve">Seccionales + App del trabajador</t>
  </si>
  <si>
    <t xml:space="preserve">ATE, UOM, UPSRA, PETROLEROS_PRIVADOS, UPACP, SADOP, ALEARA, ADEF, SOESGyPE, AAPM</t>
  </si>
  <si>
    <t xml:space="preserve">ATE tiene mapa interactivo de seccionales; SADOP y SSRA geolocalizan delegaciones desde la app; ALEARA mapea delegaciones y agencias de lotería (lugares de trabajo); UOM, UPSRA, Petroleros, SOESGyPE y UPACP derivan casi todos los trámites a la delegación pero solo publican listados con teléfonos.</t>
  </si>
  <si>
    <t xml:space="preserve">En la app, 'Mi sede': la seccional asignada y la más cercana (georreferenciación existente), horarios, qué trámites y turnos atiende cada una, cómo llegar y WhatsApp. En el Panel, catálogo de servicios por seccional. Opcional: mapa de lugares de trabajo representados.</t>
  </si>
  <si>
    <t xml:space="preserve">Pequeña función que ordena el 'andá a la seccional' que repiten todos los sitios.
Reutiliza la georreferenciación y el módulo de seccionales.
Útil para gremios federales con muchas delegaciones (UOM, ATE, UPSRA, SADOP).
Base para turnos y campañas con retiro por sede.</t>
  </si>
  <si>
    <t xml:space="preserve">ATE-17, UOM-12, UPSRA-16, PETROLEROS_PRIVADOS-12, UPACP-11, SADOP-4, ALEARA-14, ADEF-18, SOESGyPE-17, AAPM-8</t>
  </si>
  <si>
    <t xml:space="preserve">P29</t>
  </si>
  <si>
    <t xml:space="preserve">Emergencias: sepelio 24 hs, beneficiarios designados, botón SOS y 'llegué bien'</t>
  </si>
  <si>
    <t xml:space="preserve">Beneficios + Trabajadores + Credencial (georreferenciación)</t>
  </si>
  <si>
    <t xml:space="preserve">UTHGRA, FOETRA, UF, UPSRA, BANCARIA, COMERCIO, SOEME, ACEITEROS, SGBATOS, SUTPA, STIHMPRA, AAA, SPT, SIPREBA</t>
  </si>
  <si>
    <t xml:space="preserve">Catorce gremios dan sepelio vía aseguradora (El Surco, Sol Naciente, Scavo, Caramuto) con línea 24 hs, reintegro si fue privado y subsidio por fallecimiento; SOEME y SUTPA hacen designar beneficiarios; UF cubre prótesis desde el mismo fondo. SGBATOS incorporó en su app un botón SOS georreferenciado y un modo 'Guardián' (alerta temporizada tipo 'llegué bien' con sala de monitoreo y contactos de emergencia); SiPreBA presta kits de protección para coberturas de riesgo.</t>
  </si>
  <si>
    <t xml:space="preserve">Ficha 'Emergencias' en la app con el número del prestador y el número de póliza del trabajador; designación de beneficiarios desde el perfil; trámite de subsidio por fallecimiento iniciable por el familiar designado. Botón SOS que envía ubicación y datos a contactos de emergencia y, si el sindicato lo contrata, a una central; modo 'llegué bien' con temporizador. Pensado para vigiladores, taxistas, camioneros, prensa y trabajadores nocturnos.</t>
  </si>
  <si>
    <t xml:space="preserve">Momento crítico donde el afiliado más necesita al sindicato y menos puede buscar un teléfono.
La designación de beneficiarios evita conflictos y agiliza el pago del subsidio.
El botón SOS y el 'llegué bien' de SGBATOS son un diferencial real para vigiladores, taxistas, camioneros y prensa.
Casi todo es configuración sobre beneficios, perfil y la georreferenciación existente.</t>
  </si>
  <si>
    <t xml:space="preserve">UTHGRA-5, FOETRA-4, UF-9, UPSRA-8, BANCARIA-8, COMERCIO-15, SOEME-1, ACEITEROS-17, SGBATOS-3, SGBATOS-21, SUTPA-3, STIHMPRA-3, AAA-8, SPT-7, SIPREBA-7</t>
  </si>
  <si>
    <t xml:space="preserve">P30</t>
  </si>
  <si>
    <t xml:space="preserve">Encuestas de condiciones de trabajo por empresa y mapa de riesgos</t>
  </si>
  <si>
    <t xml:space="preserve">Encuestas + Empleadores + Panel Sindical</t>
  </si>
  <si>
    <t xml:space="preserve">ACEITEROS, COMERCIO, CAMIONEROS, SUPARA, FOETRA, UTEDYC, SOMU, UOM</t>
  </si>
  <si>
    <t xml:space="preserve">Aceiteros identifica riesgos colectivamente con comités mixtos y un manual propio; el SEC recibe denuncias de falta de EPP; Camioneros hace campañas de fatiga y seguridad vial; SUPARA, FOETRA y UOM tienen comisiones de higiene y seguridad sin canal digital; SOMU trabaja seguridad a bordo; UTEDYC publica manual de teletrabajo.</t>
  </si>
  <si>
    <t xml:space="preserve">Plantillas de encuesta 'condiciones de trabajo' segmentadas por empresa/establecimiento, anónimas, con resultados en el mapa de sucursales existente y comparables entre períodos; desde un resultado crítico el sindicato abre un trámite con el empleador. Materiales de prevención en Noticias segmentadas por rubro.</t>
  </si>
  <si>
    <t xml:space="preserve">Usa el módulo de Encuestas para un tema gremial de peso (salud y seguridad) con salida accionable.
El mapa por empresa muestra dónde están los problemas, útil para comités mixtos.
Solo plantillas y un enlace encuesta → trámite con empleador.
Diferenciador frente a herramientas que solo comunican.</t>
  </si>
  <si>
    <t xml:space="preserve">ACEITEROS-3, COMERCIO-9, CAMIONEROS-20, SUPARA-22, FOETRA-15, UTEDYC-13, SOMU-8, UOM-10</t>
  </si>
  <si>
    <t xml:space="preserve">P31</t>
  </si>
  <si>
    <t xml:space="preserve">Gamificación: trivia del convenio con premios, sorteos mensuales y puntos</t>
  </si>
  <si>
    <t xml:space="preserve">Capacitación + Beneficios + Notificaciones</t>
  </si>
  <si>
    <t xml:space="preserve">ADEF, UATRE, STVyARA, SETIA, SUTEBA</t>
  </si>
  <si>
    <t xml:space="preserve">ADEF creó FarmaTrivia: trivias mensuales sobre productos con ranking, premios y ganadores publicados, exclusiva para empleados de farmacia; STVyARA sortea mensualmente entre afiliados; UATRE tiene un sistema de sorteos online de beneficios; SETIA sortea autos y motos en el Día del Textil; SUTEBA organiza un torneo provincial entre seccionales. El informe de no afiliados ya proponía un quiz 'El Convenio en Juego' y 'Puntos Colmena'.</t>
  </si>
  <si>
    <t xml:space="preserve">Trivia mensual configurable por el sindicato (preguntas del convenio, derechos, seguridad, productos del rubro) con ranking por seccional, premios (vouchers P02, bonos P24) y ganadores publicados; sorteos con inscripción y resultado auditable; puntos por acciones (validar recibo, completar perfil, responder encuesta) canjeables en beneficios. Abierto a no afiliados con premios distintos por nivel.</t>
  </si>
  <si>
    <t xml:space="preserve">ADEF demuestra que una trivia mensual con premios mantiene viva la app entre trabajadores dispersos.
Retoma el quiz y los puntos ya propuestos para no afiliados, con la mecánica probada: mensual, ranking, ganadores publicados.
Las preguntas se generan del convenio ya cargado para el bot; los premios son vouchers y bonos existentes.
Sorteos auditables con acta reemplazan los sorteos de fotos en Instagram.</t>
  </si>
  <si>
    <t xml:space="preserve">ADEF-14, UATRE-4, STVyARA-5, SETIA-14, SUTEBA-11</t>
  </si>
  <si>
    <t xml:space="preserve">P32</t>
  </si>
  <si>
    <t xml:space="preserve">Beneficios que se disparan desde el recibo: sugerencias proactivas</t>
  </si>
  <si>
    <t xml:space="preserve">Motor de recibos + Beneficios + Notificaciones</t>
  </si>
  <si>
    <t xml:space="preserve">AAA, UOMA, ACEITEROS, STIA, APOC, SGBATOS, UF</t>
  </si>
  <si>
    <t xml:space="preserve">Aeronavegantes subsidia la excedencia post-maternidad y asegura la pérdida de ingresos por licencia prolongada; UOMA subsidia salarios caídos; SOEA paga 'guarda de puesto' durante licencias por enfermedad; STIA PBA da días de turismo según antigüedad; APOC reintegra guardería; SGBATOS acompaña la lactancia hasta 2 años; UF premia a hijos con secundario sin materias. Todas son situaciones que el recibo de sueldo muestra antes de que el trabajador pregunte.</t>
  </si>
  <si>
    <t xml:space="preserve">Reglas 'si el recibo muestra X, sugerir Y': asignación por hijo → kit escolar y grupo familiar; licencia por maternidad/excedencia → plan materno o subsidio de excedencia; licencia sin goce/enfermedad prolongada → guarda de puesto; antigüedad alcanzada → días de turismo o voucher; primer recibo en la empresa → bienvenida; SAC → campaña de turismo con cuotas. La sugerencia aparece al terminar la validación y como notificación, con el trámite prellenado.</t>
  </si>
  <si>
    <t xml:space="preserve">Colm3na es la única herramienta que lee el recibo cada mes: puede pasar de controlar a ofrecer.
El recibo muestra hijos, licencias, antigüedad y SAC antes de que el trabajador pregunte por el beneficio.
Cada sugerencia abre el trámite ya prellenado: menos derechos sin usar y más uso de la app.
Reglas como plantillas de plataforma, activadas por cada sindicato según su catálogo.</t>
  </si>
  <si>
    <t xml:space="preserve">AAA-3, AAA-9, UOMA-7, ACEITEROS-13, STIA-12, APOC-2, SGBATOS-12, UF-1</t>
  </si>
  <si>
    <t xml:space="preserve">P33</t>
  </si>
  <si>
    <t xml:space="preserve">Elecciones internas: padrón, 'dónde voto', actas y transparencia institucional</t>
  </si>
  <si>
    <t xml:space="preserve">Noticias + Trabajadores + Plataforma</t>
  </si>
  <si>
    <t xml:space="preserve">BANCARIA, STIHMPRA, FGB</t>
  </si>
  <si>
    <t xml:space="preserve">La Bancaria tiene un buscador 'Dónde voto' para sus elecciones internas; STIHMPRA publica las actas de la junta electoral y formularios; FGB publica memoria y balance.</t>
  </si>
  <si>
    <t xml:space="preserve">Sección 'Institucional' por sindicato: calendario electoral, consulta 'dónde voto' por CUIL con mesa y sede, actas y documentos oficiales (memoria, balance, estatuto) con fecha y versión; notificación segmentada a los habilitados. Sin votación electrónica.</t>
  </si>
  <si>
    <t xml:space="preserve">Función pequeña y muy visible en el año electoral de cada gremio.
Reemplaza listados en PDF por una consulta por CUIL y recordatorios.
Suma transparencia (actas, memoria, balance) con versiones y fechas.
No incluye votación electrónica; solo información.</t>
  </si>
  <si>
    <t xml:space="preserve">BANCARIA-3, STIHMPRA-8, FGB-18</t>
  </si>
  <si>
    <t xml:space="preserve">P34</t>
  </si>
  <si>
    <t xml:space="preserve">Entidades vinculadas: mutual, caja complementaria, fundación e instituto como capas del mismo sindicato</t>
  </si>
  <si>
    <t xml:space="preserve">Plataforma + Seguridad/perfiles + Beneficios + Credencial</t>
  </si>
  <si>
    <t xml:space="preserve">STPCHPYA, UTA, UF, SMATA, SSRA, SGBATOS, SUPARA, LYF, PETROLEROS_PRIVADOS, ALEARA, SUTPA, SOESGyPE, UOMA, AAA, ADEF, UATRE, APOC, SIPREBA, UECARA</t>
  </si>
  <si>
    <t xml:space="preserve">En 25 de los 47 gremios los beneficios de peso (subsidios, préstamos, seguros, tiendas, hoteles, formación) los presta una entidad vinculada: mutuales (12 de Enero, UTA, AMUF, Mecánica, AMTRAS, AMTIMA, AMUPEJA, 27 de Agosto, SUTPA, AMDTA, AMDEF), cajas complementarias (SUPARA, SGBATOS), fundaciones (FUNDATRE, FAECE, IAF) e institutos (IDETEL, IFP-UPSRA, ESDU, La Piedad, Centro 26). Suelen tener padrón propio (afiliación separada con antigüedad), credencial propia y cuota propia; Petroleros afilia a sindicato y mutual en un solo acto; SSRA muestra las tres credenciales en una app.</t>
  </si>
  <si>
    <t xml:space="preserve">Concepto de 'entidad vinculada' dentro del inquilino sindicato: padrón de asociados (subconjunto o superconjunto del padrón sindical), cuota y antigüedad propias, catálogo de beneficios y trámites propios, credencial propia en la misma wallet, perfiles de administración separados y tablero propio. La afiliación conjunta (sindicato + mutual) en un solo trámite.</t>
  </si>
  <si>
    <t xml:space="preserve">La mitad de los beneficios relevados los presta una mutual, caja, fundación o instituto del gremio, con padrón y credencial propios.
Sin modelarlas, Colm3na no puede decir con precisión quién es elegible ni quién paga.
Se implementa como capa de pertenencia sobre el padrón, no como otro inquilino.
Habilita afiliación conjunta y credencial múltiple como hacen Petroleros y SSRA.</t>
  </si>
  <si>
    <t xml:space="preserve">STPCHPYA-7, UTA-9, UF-10, SMATA-6, SSRA-1, SGBATOS-19, SUPARA-17, LYF-6, PETROLEROS_PRIVADOS-1, ALEARA-2, SUTPA-2, SOESGyPE-6, UOMA-9, AAA-9, ADEF-15, UATRE-5, APOC-14, SIPREBA-2, UECARA-12</t>
  </si>
  <si>
    <t xml:space="preserve">Sigla</t>
  </si>
  <si>
    <t xml:space="preserve">Sindicato</t>
  </si>
  <si>
    <t xml:space="preserve">Rubro</t>
  </si>
  <si>
    <t xml:space="preserve">Alcance</t>
  </si>
  <si>
    <t xml:space="preserve">URL</t>
  </si>
  <si>
    <t xml:space="preserve">Calidad web (1-5)</t>
  </si>
  <si>
    <t xml:space="preserve">App / portal detectado</t>
  </si>
  <si>
    <t xml:space="preserve">Mutual / instituto</t>
  </si>
  <si>
    <t xml:space="preserve">Cant. servicios</t>
  </si>
  <si>
    <t xml:space="preserve">Online</t>
  </si>
  <si>
    <t xml:space="preserve">Semi-online</t>
  </si>
  <si>
    <t xml:space="preserve">Presencial</t>
  </si>
  <si>
    <t xml:space="preserve">Observaciones</t>
  </si>
  <si>
    <t xml:space="preserve">Páginas leídas</t>
  </si>
  <si>
    <t xml:space="preserve">ADEF</t>
  </si>
  <si>
    <t xml:space="preserve">Asociación de Empleados de Farmacia</t>
  </si>
  <si>
    <t xml:space="preserve">Empleados de farmacia (CABA y provincia de Buenos Aires)</t>
  </si>
  <si>
    <t xml:space="preserve">nacional (sede central CABA; delegados comunales y de PBA)</t>
  </si>
  <si>
    <t xml:space="preserve">https://www.adef.org.ar/</t>
  </si>
  <si>
    <t xml:space="preserve">Subdominio app.adef.org.ar con herramientas web: Simulador de liquidación de haberes (app.adef.org.ar/simulador), Simulador de vacaciones (app.adef.org.ar/simulador/holiday), 'ADEF Responde' (app.adef.org.ar/responde, atención 24hs por web/0800/WhatsApp), Sistema de Aportes en Línea (para empleadores, login con CUIT). Pre-afiliación online a la obra social (afiliacion.osadef.org.ar). No se detectó app móvil nativa ni credencial digital sindical.</t>
  </si>
  <si>
    <t xml:space="preserve">Mutual AMDEF (mutual.adef.org.ar): funciona como tienda online (e-commerce con 'Mi cuenta' y carrito) de útiles escolares, alimentos y artículos de limpieza para asociados; contacto WhatsApp +54 9 11 2369-3316. Centro de Formación Profesional N°26 (centro26.com.ar) y Laboratorio Escuela 'Jorge Di Pascuale' para formación de auxiliares de farmacia. Convenio con UMET para Licenciatura en Farmacia y Centro de Idiomas.</t>
  </si>
  <si>
    <t xml:space="preserve">Sindicato chico con web muy por encima de su tamaño. Diferenciales: (1) DOS calculadoras propias (liquidación de haberes y vacaciones) bajo un subdominio 'app'; (2) 'FarmaTrivia', una plataforma gamificada de capacitación con premios mensuales, idea muy original para retención/engagement; (3) mutual convertida en tienda online (útiles, alimentos, limpieza) en vez de solo subsidios; (4) turismo social con circuito claro (consultar web -&gt; WhatsApp/mail -&gt; seña 48hs -&gt; cuotas -&gt; voucher por mail) y FAQ bien redactada; (5) canal 24hs unificado 'ADEF Responde'; (6) plan de viviendas propio nacido de un censo habitacional de afiliados. Excluido: portal OSADEF, validador de prestadores, pre-afiliación obra social (salud).</t>
  </si>
  <si>
    <t xml:space="preserve">https://www.adef.org.ar/
https://www.adef.org.ar/simulador
https://www.adef.org.ar/simulador-vacaciones
https://www.adef.org.ar/sistema-de-aportes-en-linea
https://www.adef.org.ar/turismo-social/preguntas-frecuentes
https://www.adef.org.ar/institucional/plan-viviendas
https://www.adef.org.ar/adef-responde
https://mutual.adef.org.ar/
https://farmatrivia.ar/</t>
  </si>
  <si>
    <t xml:space="preserve">CAMIONEROS</t>
  </si>
  <si>
    <t xml:space="preserve">Sindicato de Choferes de Camiones, Obreros y Empleados del Transporte Automotor de Cargas de CABA y Provincia de Buenos Aires (con referencias a la Federación Nacional de Trabajadores Camioneros - FEDCAM)</t>
  </si>
  <si>
    <t xml:space="preserve">transporte automotor de cargas y logística (CCT 40/89)</t>
  </si>
  <si>
    <t xml:space="preserve">seccional CABA y Provincia de Buenos Aires (sindicato de base) + federación nacional para escalas y sistemas</t>
  </si>
  <si>
    <t xml:space="preserve">https://www.camioneros-ba.org.ar/</t>
  </si>
  <si>
    <t xml:space="preserve">App móvil 'CamionerosBA' (Android e iOS) promocionada como 'toda la información al alcance de tu mano' (funciones no detalladas en la web). 'Sede Digital' (sededigital.camioneros-ba.org.ar): portal de autogestión del afiliado con login por CUIL y clave, registro de nuevo usuario, donde se inician trámites como el beneficio por nacimiento. Credencial digital de OSCHOCA (obra social) y mención a credencial sindical digital. Portales para empresas: impresión de boletas, acuerdos por empresa con login (convenios.camioneros.org.ar / acuerdos.spdps.com.ar), psicofísico. Escalas salariales online; sin calculadora. sindicatocamioneros.org.ar no resuelve DNS.</t>
  </si>
  <si>
    <t xml:space="preserve">Mutual Camioneros (mutualcamioneros.org.ar, enlazada desde la home, contenido no relevado); Club Camioneros (deportivo); programa 'Camioneros Solidarios' (asistencia); revista 'Los Camioneros' y Biblioteca Sindical (FEDCAM).</t>
  </si>
  <si>
    <t xml:space="preserve">El sitio más completo del grupo (calidad 4): es el único con app móvil en ambas tiendas y un portal de autogestión (Sede Digital, login por CUIL) donde ya se inician beneficios sociales online. Ideas fuertes: catálogo de subsidios con reglas claras (6 meses de antigüedad, plazo de 3 meses, documentación) fácilmente digitalizables; consulta online del estado de entrega de útiles escolares; planilla de km como herramienta de control del recibo; oficina ANSES dentro del gremio; alojamiento para estudiantes y pacientes del interior; sistemas específicos del oficio (psicofísico/LiNTI). El lado empresa está muy digitalizado (boletas, libre deuda, acuerdos por empresa, aportes por CBU). Debilidades: la web no explica qué hace la app ni qué trámites hay en Sede Digital; turismo sin reserva online; URLs de Joomla frágiles (varias dan 404). Nota: sindicatocamioneros.org.ar no resuelve; se usó camioneros-ba.org.ar (sindicato de base más grande) y fedcam.org.ar.</t>
  </si>
  <si>
    <t xml:space="preserve">https://www.camioneros-ba.org.ar/
https://www.fedcam.org.ar/
http://camioneros-ba.org.ar/index.php/sindicato/novedades/537-nueva-app-camionerosba
https://www.camioneros-ba.org.ar/index.php/turismo
https://www.camioneros-ba.org.ar/index.php/secretarias
https://www.camioneros-ba.org.ar/index.php/2015-04-16-17-59-12/secretaria-de-accion-social
https://www.camioneros-ba.org.ar/index.php/nacimientos
https://sededigital.camioneros-ba.org.ar/</t>
  </si>
  <si>
    <t xml:space="preserve">SETIA</t>
  </si>
  <si>
    <t xml:space="preserve">Sindicato de Empleados Textiles de la Industria y Afines de la República Argentina (reemplaza a AOT, cuyo sitio aot.org.ar / aotra.org.ar no respondió)</t>
  </si>
  <si>
    <t xml:space="preserve">empleados (administrativos, técnicos, supervisión) de la industria textil y afines</t>
  </si>
  <si>
    <t xml:space="preserve">nacional (con seccionales)</t>
  </si>
  <si>
    <t xml:space="preserve">https://setia.org.ar/</t>
  </si>
  <si>
    <t xml:space="preserve">Sí: (1) 'SETIA Online' (portal con acceso a sistema AMETIA Online, afiliaciones y padrones, boletas sindicales online para empresas y credencial digital móvil en wcaup.com/setiaonline/mobile/); (2) app propia 'Setia App' (app.setia.ar, web app con landing; contenido dinámico no legible sin JS); (3) portal de reservas de turismo turismo.setia.ar (web app). Además formulario web de Asesoría Virtual.</t>
  </si>
  <si>
    <t xml:space="preserve">AMETIA (ametia.com.ar) — entidad vinculada (mutual/asociación) con sistema 'AMETIA Online' integrado en SETIA Online; su oferta concreta no está descrita en el sitio. Hotelería propia: Hotel Yana (San Clemente), Hotel Bareko (Bariloche), Hotel Juan D. Perón (Mar del Plata), Colonia Eva Perón (Córdoba) y Centro Recreativo Ezeiza.</t>
  </si>
  <si>
    <t xml:space="preserve">Sindicato mediano con una capa digital sorprendentemente completa: credencial digital móvil, app propia, portal 'SETIA Online' que integra sistema de la mutual AMETIA, padrones y boletas online para empresas, portal de reservas hoteleras y asesoría virtual con N° de afiliado. Idea original: página pública de 'verificación de inspectores' con listado de inspectores habilitados y formulario para que la empresa solicite inspección (transparencia frente a inspectores falsos y canal formal de cobranza). También el enrutamiento de consultas por área y el FAQ previo a la asesoría. Beneficios clásicos bien definidos (luna de miel y bodas de oro en hoteles propios, caja de Navidad, útiles, subsidio nacimiento, Día del Textil con sorteo de vehículos). Falta: afiliación online (sigue en PDF).</t>
  </si>
  <si>
    <t xml:space="preserve">https://setia.org.ar/
https://setia.org.ar/?cat=4
https://setia.org.ar/?page_id=25
https://setia.org.ar/?page_id=13
https://setia.org.ar/?page_id=29
https://setia.org.ar/?page_id=34
https://setia.org.ar/?page_id=15
https://app.setia.ar/#/landing</t>
  </si>
  <si>
    <t xml:space="preserve">SGBATOS</t>
  </si>
  <si>
    <t xml:space="preserve">Sindicato Gran Buenos Aires de Trabajadores de Obras Sanitarias</t>
  </si>
  <si>
    <t xml:space="preserve">trabajadores de obras sanitarias / agua y saneamiento (AySA y afines)</t>
  </si>
  <si>
    <t xml:space="preserve">seccional Gran Buenos Aires (sindicato de primer grado, adherido a FeNTOS)</t>
  </si>
  <si>
    <t xml:space="preserve">https://sgbatos.org.ar/</t>
  </si>
  <si>
    <t xml:space="preserve">App móvil propia 'SGBATOS' (iOS y Android, desarrollada por OYS Group, paquete 'GestionAfiliados'). Registro con DNI + mail + contraseña validado contra padrón del sindicato y de la obra social OSOSS. Funciones: credencial digital del sindicato y de OSOSS (también para familiares), noticias/comunicados, info de turismo, torneos y beneficios, envío de consultas a las distintas Secretarías del sindicato y a la obra social, y botones de emergencia 'SOS' y 'Guardián' conectados a una sala de monitoreo. No se detectó portal web de autogestión con login aparte de la app.</t>
  </si>
  <si>
    <t xml:space="preserve">Farmacia Mutual 15 de Mayo (descuento adicional 10% sobre el 40% de cartilla; prestación farmacéutica, se menciona solo como referencia); Instituto Tecnológico Leopoldo Marechal (ITLM, itlm.org.ar) e Instituto Universitario del Agua y Saneamiento (IUAS, iuas.edu.ar) como instituciones educativas vinculadas; jardines maternales propios 'La Gotita de Agua' (lagotitadeagua.edu.ar); Caja Complementaria propia para jubilados.</t>
  </si>
  <si>
    <t xml:space="preserve">Lo más original es la app: además de credencial digital (sindicato + obra social, también para familiares) y mensajería hacia las Secretarías, integra un botón SOS georreferenciado y un modo 'Guardián' (alerta temporizada tipo 'llegué bien') con sala de monitoreo 24h y contactos de emergencia; es una función de seguridad personal poco habitual en apps sindicales. También destacan la Caja Complementaria previsional propia (haber complementario a jubilados financiado por activos), los jardines maternales propios con reintegro para quienes usan otros, el programa de lactancia hasta 2 años y la oferta educativa propia (instituto tecnológico + instituto universitario del agua). El sitio es prolijo en catálogo de beneficios pero casi ningún beneficio explica el trámite (formulario, canal, requisitos): oportunidad clara para digitalizar solicitudes de kit escolar, becas, nacimiento, casamiento y reservas hoteleras.</t>
  </si>
  <si>
    <t xml:space="preserve">https://sgbatos.org.ar/
https://sgbatos.org.ar/app/
https://sgbatos.org.ar/beneficios/
https://sgbatos.org.ar/turismo/</t>
  </si>
  <si>
    <t xml:space="preserve">STPCHPYA</t>
  </si>
  <si>
    <t xml:space="preserve">Sindicato de Trabajadores Pasteleros, Confiteros, Heladeros, Pizzeros y Alfajoreros - Buenos Aires (reemplazo de FATSA/ATSA: fatsa.org.ar, sanidad.org.ar y atsa.org.ar no respondieron en ningún intento)</t>
  </si>
  <si>
    <t xml:space="preserve">pasteleros, confiteros, heladeros, pizzeros y alfajoreros</t>
  </si>
  <si>
    <t xml:space="preserve">seccional Buenos Aires (CABA y GBA)</t>
  </si>
  <si>
    <t xml:space="preserve">https://pasteleros.org/</t>
  </si>
  <si>
    <t xml:space="preserve">App móvil 'ELEVAR' (Android/iOS, compartida con la obra social) con carnet digital de afiliado; registro con el mail declarado en la afiliación; manual de usuario en PDF. WhatsApp de mutual y de turismo. Escuela con sitio propio y cursos online.</t>
  </si>
  <si>
    <t xml:space="preserve">Asociación Mutual 12 de Enero: subsidios (ajuar por nacimiento, plan materno infantil, casamiento, fallecimiento, hijo con discapacidad), FOCOM fondo compensatorio, créditos personales, electrodomésticos, reintegros en óptica/ortopedia/útiles, descuentos en farmacia. Escuela de Pastelería Profesional (escueladepasteleria.com.ar).</t>
  </si>
  <si>
    <t xml:space="preserve">El sitio más completo del grupo en cuanto a detalle de prestaciones: cada subsidio de la mutual tiene monto, requisitos y plazos publicados (transparencia útil como modelo de 'catálogo de beneficios'). Diferenciales: carnet digital en app compartida sindicato+obra social (ELEVAR) con registro por mail declarado y manual de usuario; escuela de pastelería propia con cursos online; WhatsApp segmentado por área. Casi todos los trámites siguen siendo presenciales; oportunidad clara para digitalizar solicitud de subsidios con carga de documentación.</t>
  </si>
  <si>
    <t xml:space="preserve">https://pasteleros.org/
https://pasteleros.org/carnet-digital/
https://pasteleros.org/categoria/mutual/servicios/
https://pasteleros.org/categoria/turismo/
https://pasteleros.org/categoria/turismo/alojamientos-propios/
https://pasteleros.org/escuela/
https://pasteleros.org/prestaciones-gratuitas/
https://pasteleros.org/subsidios-y-beneficios/
https://pasteleros.org/trabajadores/</t>
  </si>
  <si>
    <t xml:space="preserve">SUPARA</t>
  </si>
  <si>
    <t xml:space="preserve">Sindicato Único del Personal Aduanero de la República Argentina</t>
  </si>
  <si>
    <t xml:space="preserve">Empleados públicos de la Dirección General de Aduanas (ARCA/AFIP)</t>
  </si>
  <si>
    <t xml:space="preserve">nacional</t>
  </si>
  <si>
    <t xml:space="preserve">https://supara.org.ar/</t>
  </si>
  <si>
    <t xml:space="preserve">No hay app móvil detectada, pero sí un ecosistema de micrositios de autogestión por trámite: credencial digital web-app (micredencial.supara.org.ar, React), formularios 100% online con carga de documentos y firma digital dibujada para crédito personal/jubilados (prestamopersonal.supara.org.ar), anticipo de sueldo (anticiposueldo.supara.org.ar), subsidios por matrimonio/nacimiento/fallecimiento (matrimonio./nacimiento./fallecimiento.supara.org.ar), apoyo escolar (apoyoescolar.supara.org.ar) y afiliación online (supara.org.ar/afiliacion-supara-online). WhatsApp de consultas 5491131543269.</t>
  </si>
  <si>
    <t xml:space="preserve">FAECE - Fundación de Altos Estudios en Comercio Exterior (faece.com.ar): fundación del sindicato con descuentos importantes y cursos gratuitos en comercio exterior para afiliados y grupo familiar. Caja Complementaria de Previsión para el Personal Aduanero (cajacomplementariadeaduana.org.ar): entidad separada que paga complemento jubilatorio y otorga préstamos a jubilados. Farmacia Sindical SUPARA (Azopardo 350) con descuentos 15-20% (excluida por ser salud, se menciona como referencia).</t>
  </si>
  <si>
    <t xml:space="preserve">Es el caso más avanzado del grupo en autogestión: en lugar de una app monolítica, SUPARA construyó un micrositio por trámite (prestamopersonal., anticiposueldo., matrimonio., nacimiento., fallecimiento., apoyoescolar., micredencial.supara.org.ar) con formularios 100% online que incluyen carga de documentos (DNI, recibo S.A.R.H.A., certificado de retención ARCA), selección de plan con cuota informada y firma dibujada en pantalla, además de afiliación online. Publica montos y fechas de vigencia de subsidios (actualizados a abril 2026) y plazos (6 meses), algo poco común. Ideas destacables: anticipo de sueldo como producto financiero gremial; premio de jubilación combinando dinero + 7 noches; socio adherente para jubilados con paquete propio (4x3 en hoteles, crédito jubilados, farmacia); campaña anual de apoyo escolar con ventana de inscripción online; fundación de formación profesional específica del oficio (FAECE) y descuento en Tarifar (herramienta de trabajo). Débil: sin app de tienda, sin motor de reservas hotelero centralizado, deporte y previsión siguen por mail/teléfono, y los subsidios exigen firma del delegado (paso presencial oculto dentro de un trámite 'online').</t>
  </si>
  <si>
    <t xml:space="preserve">https://supara.org.ar/
https://supara.org.ar/prestamos
https://supara.org.ar/subsidios
https://supara.org.ar/afiliaciones/
https://supara.org.ar/hoteles-supara
https://supara.org.ar/deporte-y-recreacion
https://supara.org.ar/pre-jubilaciones
https://supara.org.ar/beneficios-jubilaciones-2
https://supara.org.ar/capacitacion-y-cultura
https://micredencial.supara.org.ar/
https://prestamopersonal.supara.org.ar/
https://apoyoescolar.supara.org.ar/beneficio/utiles</t>
  </si>
  <si>
    <t xml:space="preserve">SUTEBA</t>
  </si>
  <si>
    <t xml:space="preserve">Sindicato Unificado de Trabajadores de la Educación de Buenos Aires</t>
  </si>
  <si>
    <t xml:space="preserve">docentes (educación pública, privada y municipal de la Provincia de Buenos Aires)</t>
  </si>
  <si>
    <t xml:space="preserve">provincial (Buenos Aires), con seccionales por distrito</t>
  </si>
  <si>
    <t xml:space="preserve">https://www.suteba.org.ar/</t>
  </si>
  <si>
    <t xml:space="preserve">No hay app móvil ni credencial digital detectadas, pero sí un conjunto de aplicaciones web propias: Cálculo de Haberes (haberes.suteba.org.ar), portal de turismo con reservas (turismo.suteba.org.ar), consulta de precios de medicamentos, sistema de trámites ante IOMA (tioma.suteba.org.ar), cuenta recaudadora DIPREGEP, seguimiento de equipamiento y reserva de recursos (apps.suteba.org.ar). Afiliación 100% online con carga de documentos.</t>
  </si>
  <si>
    <t xml:space="preserve">No detectado como mutual. Tiene estructuras propias: Recreo del SUTEBA en Tigre, Escuela de Montaña, campings, Escuela de Formación Político Sindical, revista digital y espacios 'RUTEvte' y 'Utopías en Movimiento'.</t>
  </si>
  <si>
    <t xml:space="preserve">El sitio más completo del grupo en autogestión: afiliación online con carga de documentos y grupo familiar, calculadora de haberes propia, portal de reservas de turismo, sistema de trámites ante la obra social, consulta de precios de medicamentos y sistemas internos de reservas de recursos. Bien resuelto: un 'hub de aplicaciones' con todas las herramientas web listadas en una página. Ideas originales: asignaciones solidarias con reglas claras de antigüedad (6 meses), ferias de emprendedores afiliados, Escuela de Montaña, torneo provincial entre seccionales. Falta: app móvil y credencial digital.</t>
  </si>
  <si>
    <t xml:space="preserve">https://www.suteba.org.ar/
https://www.suteba.org.ar/beneficios-sociales-requisitos_435.html
https://www.suteba.org.ar/promocion-social_6.html
https://www.suteba.org.ar/enlaces-de-aplicaciones_407.html
https://www.suteba.org.ar/afiliacion</t>
  </si>
  <si>
    <t xml:space="preserve">SUTERH</t>
  </si>
  <si>
    <t xml:space="preserve">Sindicato Único de Trabajadores de Edificios de Renta y Horizontal</t>
  </si>
  <si>
    <t xml:space="preserve">encargados y trabajadores de edificios (propiedad horizontal)</t>
  </si>
  <si>
    <t xml:space="preserve">CABA y Gran Buenos Aires (federación nacional FATERYH; hoteles abiertos también a afiliados del interior)</t>
  </si>
  <si>
    <t xml:space="preserve">https://suterh.org.ar/</t>
  </si>
  <si>
    <t xml:space="preserve">App móvil propia 'SUTERH Móvil' (iOS/Android) con credencial digital (carnet de beneficiario OSPERyH), turnos, consulta de aportes, estado de trámites, mensajes a delegados y autoridades, teléfonos útiles y novedades. Además: chat online en la web (10 a 18 hs), WhatsApp con menú de opciones (+54 9 11 3724-6682), reservas hoteleras online (motor b-tech DOTIA), 'Sistema de Control' de aportes (cc.fateryh.org.ar), directorio de delegados (servicios.suterh.org.ar/delegados) y afiliación iniciada por WhatsApp/mail.</t>
  </si>
  <si>
    <t xml:space="preserve">UMET – Universidad Metropolitana para la Educación y el Trabajo (universidad propia del sindicato, Sarmiento 2037), escuelas y programas de formación y capacitación; no se detectó mutual.</t>
  </si>
  <si>
    <t xml:space="preserve">El sindicato más digitalizado del grupo: app propia con credencial digital, mensajería a delegados y consulta de aportes; afiliación remota por WhatsApp/mail con 'afiliación provisoria' enviada como PDF; motor de reservas hoteleras online con reglas de pago y cancelación explícitas; chat web, WhatsApp con menú por área y directorio de delegados. Ideas rescatables: (1) afiliación provisoria digital inmediata mientras se valida la documentación, (2) reglas de hotelería claras (invitados máx. 2, pago 30 días antes, no show = una noche) que se pueden codificar, (3) consulta de aportes del empleador como control del trabajador, (4) mensajería directa afiliado→delegado. La app mezcla obra social y sindicato en una sola identidad, lo que simplifica la credencial.</t>
  </si>
  <si>
    <t xml:space="preserve">https://suterh.org.ar/
https://suterh.org.ar/nuevos-tramites-de-afiliacion-sin-salir-de-tu-casa/
https://apps.apple.com/ar/app/suterh-m%C3%B3vil/id1239631941
https://suterh.org.ar/preguntas-frecuentes/
https://suterh.org.ar/nuestros-hoteles/</t>
  </si>
  <si>
    <t xml:space="preserve">UEJN</t>
  </si>
  <si>
    <t xml:space="preserve">Unión de Empleados de la Justicia de la Nación</t>
  </si>
  <si>
    <t xml:space="preserve">empleados judiciales (Poder Judicial de la Nación)</t>
  </si>
  <si>
    <t xml:space="preserve">https://www.uejn.org.ar/</t>
  </si>
  <si>
    <t xml:space="preserve">App móvil propia 'UEJN' (iOS y Android, +10.000 descargas, actualizada 11/09/2026) con credencial virtual, catálogo de beneficios/descuentos, noticias y canal de consultas sindicales. Web-app app.uejn.org.ar (afiliación online, catálogo de beneficios, pedido de credencial) y portal de autogestión afigestion.uejn.org.ar (módulo 'pases'). Además campus.uejn.org.ar y turismo.uejn.org.ar como subportales.</t>
  </si>
  <si>
    <t xml:space="preserve">no detectado (obra social OSPJN es estatal; se excluye)</t>
  </si>
  <si>
    <t xml:space="preserve">El sindicato más digitalizado del grupo: afiliación online, credencial virtual en app, catálogo de beneficios como web-app, portal de autogestión (afigestion), campus virtual y portal de turismo, todos en subdominios propios. Modelo de referencia para la arquitectura 'app del afiliado + subportales'. Puntos débiles: la información sobre subsidios/ayudas económicas no aparece en el sitio público (probablemente detrás del login), y la reserva turística no se ve como 100% online. No se pudo leer /por-que-afiliarme (bloqueo de proveniencia).</t>
  </si>
  <si>
    <t xml:space="preserve">https://www.uejn.org.ar/
https://www.uejn.org.ar/beneficios
https://www.uejn.org.ar/afiliate
https://www.uejn.org.ar/afiliate-completando-el-formulario-4504
https://www.uejn.org.ar/articulos/%C2%A1record%C3%A1-pedir-tu-credencial-de-afiliado-la-uejn-349
https://app.uejn.org.ar/beneficios
https://play.google.com/store/apps/details?id=uejn.org.ar&amp;hl=en_US
https://turismo.uejn.org.ar/</t>
  </si>
  <si>
    <t xml:space="preserve">UTEDYC</t>
  </si>
  <si>
    <t xml:space="preserve">Unión Trabajadores de Entidades Deportivas y Civiles</t>
  </si>
  <si>
    <t xml:space="preserve">Trabajadores de clubes, entidades deportivas, civiles, mutuales, ONG, countries, guardavidas y profesores</t>
  </si>
  <si>
    <t xml:space="preserve">https://www.utedyc.org.ar/</t>
  </si>
  <si>
    <t xml:space="preserve">App 'Mi UTEDYC' (iOS y Android) con carnet sindical digital, consulta y solicitud de beneficios, turismo con reserva, reserva y pago del lugar en los parques recreativos, inscripción al Campus Virtual, actualización de datos de contacto, descarga de formularios, convenios y biblioteca digital; soporte notificacionesapp@utedyc.org.ar. Además: portal de afiliación online por CUIL (Utedyc2.0/Afiliaciones), sistema 'UTEDYC NEO' de autogestión para empresas (DDJJ, login, guía) y un sistema de tickets (WebApiUtedyc/apiddjj/tickets).</t>
  </si>
  <si>
    <t xml:space="preserve">OSPEDYC (obra social, excluida). Centro de Formación Profesional UTEDYC / Campus Virtual (capacitacionutedyc.org.ar) y Escuela de Guardavidas propia. Departamento de Previsión Social con abogados previsionales.</t>
  </si>
  <si>
    <t xml:space="preserve">De los sindicatos medianos, el más avanzado en autogestión: afiliación online por CUIL con reanudación del trámite, app con carnet digital, solicitud de beneficios, reserva y pago de parques y turismo, inscripción a campus e incluso biblioteca digital. Ideas destacables: parques recreativos con ingreso gratuito para afiliados y pago de invitados desde la app; asesoría previsional proactiva ('contactanos 3 años antes de jubilarte'); escuela de guardavidas como formación específica del rubro; secretaría de digitalización. Debilidad: el sitio web tiene muchas páginas rotas (404 en /turismo y /convenios) y el 'beneficios' web es una página en construcción; la app concentra la funcionalidad.</t>
  </si>
  <si>
    <t xml:space="preserve">https://www.utedyc.org.ar/
https://www.utedyc.org.ar/miutedyc_app/index.html
https://www.utedyc.org.ar/Utedyc2.0/Aplicaciones/Afiliaciones/Forms/Frm_Afiliaciones_Inicio.html
https://www.utedyc.org.ar/Utedyc2.0/Aplicaciones/Login/Forms/Login.html
https://www.utedyc.org.ar/nw35_02.html
https://www.utedyc.org.ar/502/numero36/departamento-de-prevision-social.html</t>
  </si>
  <si>
    <t xml:space="preserve">ACEITEROS</t>
  </si>
  <si>
    <t xml:space="preserve">Federación de Trabajadores del Complejo Industrial Oleaginoso, Desmotadores de Algodón y Afines de la República Argentina (FTCIODyARA) + Sindicato de Obreros y Empleados Aceiteros de San Lorenzo (SOEA)</t>
  </si>
  <si>
    <t xml:space="preserve">Industria aceitera / oleaginosa y desmotadores de algodón</t>
  </si>
  <si>
    <t xml:space="preserve">nacional (federación) + seccional San Lorenzo (SOEA, sindicato de base más relevante, usado porque la federación no publica servicios al afiliado)</t>
  </si>
  <si>
    <t xml:space="preserve">https://federacionaceitera.com.ar/</t>
  </si>
  <si>
    <t xml:space="preserve">Federación: no tiene portal de afiliados; sí un 'Portal de Empresas' (gestion.federacionaceitera.com.ar/loginempresas.aspx) para las empleadoras. SOEA San Lorenzo: portal de autogestión de afiliados con login (secwebafiliados.soeasl.org.ar) para 'trámites a distancia' como libros y útiles escolares; no se pudo leer su interior (robots).</t>
  </si>
  <si>
    <t xml:space="preserve">Mutual AMPIAVA (vinculada a SOEA, Puerto General San Martín): farmacia mutual con descuentos, alquiler de salones de eventos, canal del fondo voluntario de medicamentos y de la leche maternizada. Centro Médico 29 de Octubre (SOEA, excluido por ser salud, salvo el apto físico para el camping). Nota: aceiteros.org.ar y soea.org.ar del brief no responden; los dominios reales son federacionaceitera.com.ar y soea.com.ar.</t>
  </si>
  <si>
    <t xml:space="preserve">La federación es puramente institucional/gremial (escalas, leyes, comunicados, salud laboral) y solo digitaliza el vínculo con empresas. El sindicato de base SOEA San Lorenzo, en cambio, tiene la lista de beneficios más completa y transparente del grupo: montos exactos indexados por categoría del CCT, documentación por beneficio y un portal de autogestión donde los beneficios simples (libros, útiles) se piden a distancia. Ideas valiosas: subsidios por hitos familiares (15 años, 18 años, bautismo), 'guarda de puesto' como subsidio por enfermedad prolongada, préstamo de mobiliario para fiestas, fondo voluntario de medicamentos vía mutual, y la tabla de montos por categoría que podría convertirse en una calculadora de beneficios en la app.</t>
  </si>
  <si>
    <t xml:space="preserve">https://federacionaceitera.com.ar/
https://federacionaceitera.com.ar/convenios-y-leyes/
https://federacionaceitera.com.ar/salud-laboral/
https://federacionaceitera.com.ar/category/formacion-sindical/
https://www.soea.com.ar/</t>
  </si>
  <si>
    <t xml:space="preserve">AEFIP</t>
  </si>
  <si>
    <t xml:space="preserve">Asociación de Empleados Fiscales e Ingresos Públicos (ex AEDGI)</t>
  </si>
  <si>
    <t xml:space="preserve">Empleados públicos de ARCA/AFIP (ex DGI, impositivos)</t>
  </si>
  <si>
    <t xml:space="preserve">nacional (Mesa Directiva Nacional, 18 seccionales)</t>
  </si>
  <si>
    <t xml:space="preserve">https://www.aefip.org.ar/</t>
  </si>
  <si>
    <t xml:space="preserve">App móvil propia 'AEFIP Credencial Digital' (Android, Google Play, id ar.org.aefip.aefipdigital.credencial; +1.000 descargas, 4,4 estrellas, última actualización marzo 2024): credencial digital con QR, login de afiliado, acceso a beneficios y notificaciones de eventos/noticias. La web es informativa (Joomla) sin portal de autogestión con login; los trámites se canalizan por mail/WhatsApp. Nota: la organización se renombró AEFIP; el dominio aedgi no se detectó como oficial (aefipcordoba.org.ar aún conserva la marca 'A.E.D.G.I. Seccional Córdoba').</t>
  </si>
  <si>
    <t xml:space="preserve">no detectado (no hay mutual ni fundación propia visible; posee hoteles propios gestionados por Secretaría de Asuntos Sociales/Turismo Gremial y una 'Aula Virtual' de seminarios)</t>
  </si>
  <si>
    <t xml:space="preserve">Lo más destacable es la app 'AEFIP Credencial Digital' con QR y login, que actúa como llave de todo el ecosistema de convenios comerciales (los comercios exigen credencial física o digital). La política de 'regalos de estadía' (7 noches para dos por matrimonio, bodas de plata y jubilación) usando la red de 5 hoteles propios es una idea original para monetizar activos hoteleros en temporada baja y fidelizar hitos de vida; conviene replicarla como 'beneficios por evento vital' automatizables desde la app (la partida/acta se sube y se genera el voucher). El certificado de afiliado a demanda por mail es un candidato claro a constancia autogenerada desde la app. Débil: la afiliación es ficha PDF, sin formulario online, y ningún trámite (reservas, kits, certificados) tiene formulario web; todo pasa por mail/WhatsApp/delegado. Sitio Joomla desactualizado en algunas secciones; el dominio histórico aedgi no es el oficial.</t>
  </si>
  <si>
    <t xml:space="preserve">https://play.google.com/store/apps/details?id=ar.org.aefip.aefipdigital.credencial
https://play.google.com/store/apps/details?id=ar.org.aefip.aefipdigital.credencial&amp;hl=en_US
https://www.aefip.org.ar/
https://www.aefip.org.ar/beneficios
https://www.aefip.org.ar/beneficios/comercios
https://www.aefip.org.ar/beneficios/culturales
https://www.aefip.org.ar/beneficios/educativos
https://www.aefip.org.ar/beneficios/gremiales
https://www.aefip.org.ar/beneficios/turismo-conveniado
https://www.aefip.org.ar/beneficios/turismo-gremial
https://www.aefip.org.ar/institucional/afiliaciones
https://www.aefipcapital.org.ar/beneficios</t>
  </si>
  <si>
    <t xml:space="preserve">ALEARA</t>
  </si>
  <si>
    <t xml:space="preserve">Sindicato de Trabajadores de Juegos de Azar, Entretenimiento, Esparcimiento, Recreación y Afines de la República Argentina</t>
  </si>
  <si>
    <t xml:space="preserve">Casinos, bingos, hipódromos, salas de juego, agencias de lotería, entretenimiento</t>
  </si>
  <si>
    <t xml:space="preserve">https://www.aleara.com.ar/</t>
  </si>
  <si>
    <t xml:space="preserve">No hay app ni portal con login. Sí hay autogestiones puntuales sin login: consulta de padrón de beneficiarios por CUIL, mapa de delegaciones, y un sitio separado para empleadores (alearapagos.com.ar) para liquidar aportes. Turismo en sitio aparte (alearaturismo.com.ar).</t>
  </si>
  <si>
    <t xml:space="preserve">AMUPEJA - Asociación Mutual del Personal de Emisoras y Juegos de Azar: mutual del sindicato (requiere estar afiliado a ALEARA; socios activos y participantes: cónyuge e hijos). Canaliza subsidios, reintegros, financiaciones, turismo (Hotel El Galeón), cultura y capacitación. Afiliación con formularios descargables.</t>
  </si>
  <si>
    <t xml:space="preserve">Lo más interesante es el 'menú de vida' de la mutual AMUPEJA: subsidios por hitos (nacimiento, casamiento y, poco común, cumpleaños), reintegros por gastos muy concretos (mudanza, plantillas, colonia) y financiación de eventos familiares (bautismo, fiesta de 15, ortodoncia). Es un catálogo de micro-beneficios ideal para modelar como 'solicitudes con checklist de documentos y CBU' en una app: el trámite de nacimiento ya define documentación, ventana temporal (20 días antes / 30 días después) y pago por CBU con DDJJ. También destaca el chequeo de padrón por CUIL sin login como puerta de entrada a la afiliación, y la separación de sitios por público (afiliado / empleador-aportes / turismo). Debilidades: todo termina en mail o delegación; sin app, credencial digital ni WhatsApp.</t>
  </si>
  <si>
    <t xml:space="preserve">https://www.aleara.com.ar/
https://aleara.com.ar/fichas/23
https://aleara.com.ar/fichas/30
https://aleara.com.ar/fichas/4
https://aleara.com.ar/padron</t>
  </si>
  <si>
    <t xml:space="preserve">APOC</t>
  </si>
  <si>
    <t xml:space="preserve">Asociación del Personal de los Organismos de Control</t>
  </si>
  <si>
    <t xml:space="preserve">empleados de organismos de control estatales (SIGEN, AGN, Ente Regulador CABA, PPN, JST, etc.)</t>
  </si>
  <si>
    <t xml:space="preserve">https://www.apoc.org.ar/</t>
  </si>
  <si>
    <t xml:space="preserve">no detectado como app ni portal con login. Usa Google Forms para solicitar reintegros/subsidios y campus virtual del Centro de Estudios para cursos.</t>
  </si>
  <si>
    <t xml:space="preserve">Centro de Estudios 'La Piedad' (lapiedad.org.ar): unidad de formación con campus virtual y especialización de posgrado en Auditoría Gubernamental con UNSAM. Además convenios con AMCI (seguros) y El Nacional (viajes).</t>
  </si>
  <si>
    <t xml:space="preserve">Sindicato chico de trabajadores 'de escritorio' con beneficios pensados para ese perfil: reintegro mensual de guardería y presentes por nacimiento/casamiento gestionados 100% online con Google Forms + pago a CBU (buen ejemplo de trámite simple digitalizado con reglas claras: plazo 6 meses, acumulación máx. 3 meses, aporte al día); préstamos personales con tasa Banco Nación; asesoramiento contable y jurídico-previsional; descuento en viandas; clases de guitarra y galería de arte. También un centro de estudios propio con posgrado universitario del rubro y campus virtual. Ideas trasladables: catálogo de reintegros con formulario + adjuntos + CBU, y módulo de 'convenios comerciales' con landings por beneficio.</t>
  </si>
  <si>
    <t xml:space="preserve">https://www.apoc.org.ar/
https://www.apoc.org.ar/beneficios/
https://www.apoc.org.ar/turismo/
https://www.apoc.org.ar/reintegros
https://www.apoc.org.ar/reintegros-subsidios/
https://www.apoc.org.ar/centro-de-estudios/
https://www.apoc.org.ar/prestamos-personales/
http://www.apoc.org.ar/asesoramiento-juridico-y-previsional/</t>
  </si>
  <si>
    <t xml:space="preserve">ATE</t>
  </si>
  <si>
    <t xml:space="preserve">Asociación Trabajadores del Estado</t>
  </si>
  <si>
    <t xml:space="preserve">empleados públicos (nacional, provincial, municipal)</t>
  </si>
  <si>
    <t xml:space="preserve">nacional (Consejo Directivo Nacional)</t>
  </si>
  <si>
    <t xml:space="preserve">https://ate.org.ar/</t>
  </si>
  <si>
    <t xml:space="preserve">ATE Online / AteNet2: portal con login (usuario y contraseña) para afiliados, empleadores y seccionales; incluye generación pública de boleta de depósito de aportes. App 'ATE MOBILE' (Play Store) que genera el carnet virtual de afiliado ingresando DNI y fecha de nacimiento (fuente: nota de prensa regional; la home la menciona como 'App ATE Carnet de Afiliación'). Campus Moodle con app móvil. Sin calculadora salarial ni afiliación online (ficha PDF).</t>
  </si>
  <si>
    <t xml:space="preserve">IDEP (Instituto de Estudios y Formación) e IDEP Salud (idepsalud.org); ISSTATE; Escuela de Formación Sindical Libertario Ferrari (campus virtual); Centro Nacional de Jubilados y Pensionados de ATE; ATE Cultura (cultura.ate.org.ar).</t>
  </si>
  <si>
    <t xml:space="preserve">ATE tiene el ecosistema más fragmentado: sitio nacional WordPress, portal AteNet2 (tecnología legacy .aspx que pide Firefox), sitio de convenios separado, campus Moodle, sitio de cultura y app de carnet virtual. Lo mejor: carnet digital con alta muy simple (DNI + fecha de nacimiento, sin usuario previo) y un sitio de convenios/escalas bien organizado por paritaria; también la FAQ 'cómo funciona ATE' como onboarding del afiliado y turismo gestionado por WhatsApp de una responsable identificada. Debilidades: afiliación por PDF, sin formulario de consultas/denuncias online, hoteles sin reserva online, sin calculadora salarial, portal de autogestión sin explicación pública de qué permite hacer. Nota: la estructura federal hace que muchos servicios reales (créditos, subsidios, turismo) los brinden los CDP provinciales y no aparezcan en la web nacional.</t>
  </si>
  <si>
    <t xml:space="preserve">https://ate.org.ar/
https://ate.org.ar/hoteleria-y-turismo/
https://ate.org.ar/consultas/
https://ate.org.ar/asesoramiento-juridico/
https://convenios.ate.org.ar/
http://ateonline.ateargentina.org.ar/AteNet2/Login.aspx
https://campus.escuelasindicalate.org/
https://www.puntanoticias.com.ar/node/20610</t>
  </si>
  <si>
    <t xml:space="preserve">BANCARIA</t>
  </si>
  <si>
    <t xml:space="preserve">Asociación Bancaria (La Bancaria)</t>
  </si>
  <si>
    <t xml:space="preserve">bancarios / entidades financieras</t>
  </si>
  <si>
    <t xml:space="preserve">https://labancaria.org/</t>
  </si>
  <si>
    <t xml:space="preserve">Portal de autogestión 'Tus Datos' en https://tusdatos.bancaria.org.ar/ (título 'Afiliaciones'; no se pudo leer por error SSL, se infiere que es actualización de datos/afiliación con login). Además hay un sitio de turismo separado (https://turismo.bancaria.org.ar/, sin contenido legible) y un buscador electoral 'Dónde voto' (https://dondevoto.bancaria.org.ar/). No se detectó app móvil propia.</t>
  </si>
  <si>
    <t xml:space="preserve">no detectado (no aparece mutual ni instituto propio; la Obra Social Bancaria se excluye del alcance). El sepelio gratuito se brinda vía aseguradora El Surco.</t>
  </si>
  <si>
    <t xml:space="preserve">Sitio institucional/noticioso con una sección de beneficios amplia pero poco explicada (no dice cómo tramitar cada cosa). Diferenciales: subdominios utilitarios separados (tusdatos = autogestión de afiliación, dondevoto = padrón electoral, turismo = reservas), el tablero de deudores con datos del BCRA (idea original: un observatorio de endeudamiento del trabajador) y la fuerte apuesta a turismo con hoteles propios y promociones 4x3. La afiliación online es un lead form que termina con contacto humano. Fallas técnicas: certificados SSL inválidos en bancaria.org.ar y subdominios.</t>
  </si>
  <si>
    <t xml:space="preserve">https://labancaria.org/
https://labancaria.org/beneficios/
https://labancaria.org/afiliate/
https://labancaria.org/project-type/turismo/
https://labancaria.org/deudores/</t>
  </si>
  <si>
    <t xml:space="preserve">COMERCIO</t>
  </si>
  <si>
    <t xml:space="preserve">Federación Argentina de Empleados de Comercio y Servicios (FAECYS) + Sindicato Empleados de Comercio de Capital Federal (SEC)</t>
  </si>
  <si>
    <t xml:space="preserve">empleados de comercio y servicios (CCT 130/75)</t>
  </si>
  <si>
    <t xml:space="preserve">nacional (FAECYS) + seccional Capital Federal (SEC Buenos Aires) para servicios concretos</t>
  </si>
  <si>
    <t xml:space="preserve">https://www.faecys.org.ar/</t>
  </si>
  <si>
    <t xml:space="preserve">FAECYS: no detectado (sitio institucional + campus de capacitación red.campusfaecys.org, no se pudo abrir por timeout). SEC: portal de beneficios con registro/login (beneficios.sec.org.ar) con credencial digital, reservas online de clubes y descuentos con Tarjeta 365+SEC; portal separado para empresas (aportes.sec.org.ar). No se detectó app móvil propia ni calculadora salarial.</t>
  </si>
  <si>
    <t xml:space="preserve">SEC tiene una Secretaría de Mutual y Cooperativas (servicios mutuales referidos al portal de beneficios, sin detalle). FAECYS tiene Secretaría de Acción Mutual, Cooperativa y Vivienda que publica circulares en PDF (contenido no accesible). Sanatorio Sagrado Corazón (salud, excluido).</t>
  </si>
  <si>
    <t xml:space="preserve">FAECYS (federación) tiene un sitio casi puramente institucional (calidad 2): secretarías con mails, hoteles y circulares PDF; lo único operativo es el formulario de reserva de hoteles y el campus. Los servicios concretos viven en el SEC Buenos Aires, que resolvió bien un patrón replicable: un único portal de beneficios con registro donde conviven credencial digital, reservas online de clubes/natatorio, tarjeta de descuentos (365+SEC) y catálogo de beneficios por categoría. Ideas destacables: formularios de denuncia laboral tipificados (trabajo no registrado, horas extra, adicional cajero, EPP) como entrada web; WhatsApp separado para gremial/jurídico y para obra social; punto de trámite DNI/pasaporte en sede; teatro propio con entradas gratuitas; cuota diferenciada para jubilados. Ausencias: sin app móvil, sin calculadora salarial, sin afiliación online (requiere credencial y recibo en sede), escalas como PDF sin buscador.</t>
  </si>
  <si>
    <t xml:space="preserve">https://www.faecys.org.ar/
https://www.faecys.org.ar/secretarias/
https://www.faecys.org.ar/secretaria-de-turismo
https://www.faecys.org.ar/faecys-circular-6-2026-secretaria-de-accion-mutual-cooperativa-y-vivienda/
https://www.sec.org.ar/
https://www.sec.org.ar/secretarias.php
https://beneficios.sec.org.ar/</t>
  </si>
  <si>
    <t xml:space="preserve">FGB</t>
  </si>
  <si>
    <t xml:space="preserve">Federación Gráfica Bonaerense (reemplazo de UOCRA: uocra.org no respondió en ningún intento https/http, ni fundacion.uocra.org)</t>
  </si>
  <si>
    <t xml:space="preserve">industria gráfica</t>
  </si>
  <si>
    <t xml:space="preserve">seccional CABA y Gran Buenos Aires (sindicato de primer grado)</t>
  </si>
  <si>
    <t xml:space="preserve">https://fgb.org.ar/</t>
  </si>
  <si>
    <t xml:space="preserve">Consulta de padrón online (intranetfgb.com.ar) para verificar la condición de afiliado; Sistema de Gestión Sindical extranet para empleadores (extranetfgb.com.ar) con soporte técnico. Canal oficial de WhatsApp. No se detectó app móvil propia ni credencial digital.</t>
  </si>
  <si>
    <t xml:space="preserve">STB Mutual (https://stb.mutual.ar/) - mutual vinculada con beneficios adicionales en turismo para quienes son FGB + OSPG + STB. Centros de formación profesional CFP 33 y CFP Lomas.</t>
  </si>
  <si>
    <t xml:space="preserve">Sitio claro en cuanto a qué beneficios existen y con requisitos detallados, pero casi todo se tramita presencialmente; lo digital son descargas de planillas (Declaración Jurada del camping, planilla Día de la Niñez) y la consulta de padrón online. Ideas destacables: viajes de regalo por hitos de vida (luna de miel, bodas de plata/oro, 30/50 años de afiliación), pago en cuotas de la temporada de verano, tarifas escalonadas según pertenencia sindicato+obra social+mutual, área de jubilados con agenda propia, publicación de la Memoria y Balance para transparencia. Datos desactualizados (asignación por nacimiento $2.500).</t>
  </si>
  <si>
    <t xml:space="preserve">https://fgb.org.ar/
https://fgb.org.ar/beneficios/
https://fgb.org.ar/temporada-de-verano-2026-2027/
https://fgb.org.ar/jubilados/</t>
  </si>
  <si>
    <t xml:space="preserve">FOETRA</t>
  </si>
  <si>
    <t xml:space="preserve">FOETRA Sindicato Buenos Aires – Federación de Obreros y Empleados Telefónicos de la República Argentina</t>
  </si>
  <si>
    <t xml:space="preserve">Telecomunicaciones / telefónicos</t>
  </si>
  <si>
    <t xml:space="preserve">seccional Buenos Aires (sindicato de base de FATEL)</t>
  </si>
  <si>
    <t xml:space="preserve">https://www.foetra.org.ar/sitio/</t>
  </si>
  <si>
    <t xml:space="preserve">No hay app ni portal de autogestión con login ni credencial digital. Los trámites se resuelven por mails de área (prestamos@, turismo@, culturaycapacitacion@foetrabsas.org.ar) y Google Forms para inscripciones. El instituto IDETEL tiene portal propio (idetel.org.ar).</t>
  </si>
  <si>
    <t xml:space="preserve">IDETEL (Instituto de Educación Telefónica): instituto de formación profesional del sindicato con dos centros oficiales, CFP 22 (CABA) y CFL 408 (Morón), cursos en telecomunicaciones y oficios. Club Teléfonos y Polideportivo Calfucurá (deportes y recreación). Fondo Compensador telefónico (entidad separada, complemento jubilatorio). Obra social: OSPE Telco (excluida). Clínica Centenario (salud, excluida).</t>
  </si>
  <si>
    <t xml:space="preserve">Sitio ordenado con montos, plazos y documentación explícitos para subsidios y préstamos (buena referencia para diseñar formularios de solicitud), pero toda la operación pasa por mails de área y Google Forms: no hay app, portal ni credencial digital. Diferenciales: (1) esquema de beneficios escalonados afiliado / afiliado+obra social / convencionado no afiliado, que convierte el beneficio en argumento de afiliación y es directamente modelable en una plataforma; (2) préstamos con cuotas propuestas por el afiliado y renovación al 50% pagado; (3) SLA explícito de 24 hs para aviso de depósito de subsidios; (4) instituto de formación con centros oficiales y talleres culturales gratuitos con inscripción digital; (5) programas de vivienda y hotel propio en CABA.</t>
  </si>
  <si>
    <t xml:space="preserve">https://www.foetra.org.ar/sitio/
https://www.foetra.org.ar/sitio/subsidios/
https://www.foetra.org.ar/sitio/prestamos/
https://www.foetra.org.ar/sitio/turismo/
https://www.foetra.org.ar/sitio/inscribite-a-traves-del-formulario-digital/
https://www.foetra.org.ar/sitio/asistencia-legal/</t>
  </si>
  <si>
    <t xml:space="preserve">SADOP</t>
  </si>
  <si>
    <t xml:space="preserve">Sindicato Argentino de Docentes Privados</t>
  </si>
  <si>
    <t xml:space="preserve">Docentes de educación privada (todos los niveles)</t>
  </si>
  <si>
    <t xml:space="preserve">nacional (con seccionales provinciales con webs propias: capital, buenosaires, cordoba, entrerios, etc.)</t>
  </si>
  <si>
    <t xml:space="preserve">https://sadop.net/</t>
  </si>
  <si>
    <t xml:space="preserve">App móvil propia 'SADOP DIGITAL' (Google Play, id edu.ar.sadop.app, desarrollada por ATLMED, última actualización dic-2025, +500 descargas, 'primera versión'): credencial digital del afiliado, beneficios, buscador de delegaciones cercanas y canales de contacto. Login con DNI (usuario y contraseña por defecto = DNI, luego se cambia). Además existe la app 'OSDOP Digital' (obra social) que en algunas seccionales se promociona como 'App SADOP-OSDOP'. Sistema de 'Aportes en línea' para empleadores (colegios).</t>
  </si>
  <si>
    <t xml:space="preserve">no detectado en la web nacional. Vinculación con UMET (universidad de la CGT/SUTERH) para becas. Fundación Octubre (convenio 2x1 cultural). Proyecto 'Hotel SADOP' propio en construcción.</t>
  </si>
  <si>
    <t xml:space="preserve">Web nacional principalmente de noticias; la mayoría de los subdominios (sadop.net subpáginas, capital, buenosaires, sadop.edu.ar) no respondieron (certificado SSL inválido / robots), así que el detalle de beneficios proviene del PDF 'Libro de Beneficios' (seccional Capital) y de la seccional Entre Ríos. Ideas destacables: (1) app propia con credencial digital cuyo onboarding es DNI/DNI (muy simple para docentes poco digitales); (2) beneficios por hitos de vida muy segmentados y originales: noche de bodas, bodas de plata, viaje por jubilación, kit de nacimiento con alternativa 'entrada a parque'; (3) materiales didácticos como servicio profesional al docente, útil también para no afiliados; (4) radio propia en streaming; (5) el 'Sistema de aportes en línea' para empleadores está desplegado uniformemente en todas las seccionales. Debilidad: la estructura federal hace que cada seccional tenga web y beneficios distintos, sin un portal único.</t>
  </si>
  <si>
    <t xml:space="preserve">https://sadop.net/
https://play.google.com/store/apps/details?id=edu.ar.sadop.app
https://sadop.net/extras/LIBRO%20BENEFICIOS.pdf
https://sadopentrerios.org/beneficios/credencial/
https://www.osdop.org.ar/novedades/osdop-digital/</t>
  </si>
  <si>
    <t xml:space="preserve">SIPREBA</t>
  </si>
  <si>
    <t xml:space="preserve">Sindicato de Prensa de Buenos Aires</t>
  </si>
  <si>
    <t xml:space="preserve">Trabajadores de prensa (gráfica, radio, TV, digital, freelance, medios autogestivos)</t>
  </si>
  <si>
    <t xml:space="preserve">seccional AMBA (Área Metropolitana de Buenos Aires)</t>
  </si>
  <si>
    <t xml:space="preserve">https://www.sipreba.org/</t>
  </si>
  <si>
    <t xml:space="preserve">No detectado. No hay portal con login ni app. La afiliación usa un formulario Jotform externo; el resto se gestiona por mail (contacto@sipreba.org) o presencial.</t>
  </si>
  <si>
    <t xml:space="preserve">No detectado. Los beneficios se canalizan por secretarías (Acción Social, Juventudes, Asuntos Profesionales, Medios Autogestivos).</t>
  </si>
  <si>
    <t xml:space="preserve">Sindicato pequeño pero con varias ideas originales: (1) afiliación abierta a freelance/monotributistas con cuota calculada sobre un salario de referencia del convenio y débito automático por CBU, más afiliación por convenio con asociaciones profesionales; (2) préstamo de equipamiento de protección (máscaras antigás, antiparras) con reglas claras de reserva/devolución/penalidad, un 'equipment lending' sindical que podría modelarse como reserva de recursos compartidos en la app; (3) 'Caja de Herramientas' en video para educación de derechos; (4) beneficios de nicho profesional (alquiler de estudio de radio, editorial). Todo se gestiona por mail: no hay portal de autogestión, credencial digital, calculadora ni turnos online, así que hay mucho margen de digitalización.</t>
  </si>
  <si>
    <t xml:space="preserve">https://www.sipreba.org/
https://www.sipreba.org/afiliacion-al-sipreba/
https://www.sipreba.org/category/beneficios/
https://www.sipreba.org/sindicato/caja-de-herramientas-del-sipreba-para-conocer-tus-derechos/
https://www.sipreba.org/beneficios/prestamo-kit-proteccion-coberturas-manifestaciones/</t>
  </si>
  <si>
    <t xml:space="preserve">SMATA</t>
  </si>
  <si>
    <t xml:space="preserve">Sindicato de Mecánicos y Afines del Transporte Automotor de la República Argentina</t>
  </si>
  <si>
    <t xml:space="preserve">mecánicos / industria automotriz y concesionarias</t>
  </si>
  <si>
    <t xml:space="preserve">https://www.smata.com.ar/</t>
  </si>
  <si>
    <t xml:space="preserve">Sistema 'Boletas Online' con login (secretaría de Finanzas, orientado a empleadores para aportes). Formulario web anticorrupción. Portal de la mutual con afiliación/consulta de planes online. No se detectó app móvil propia ni credencial digital ni portal de autogestión del afiliado.</t>
  </si>
  <si>
    <t xml:space="preserve">Asociación Mutual Mecánica SMATA (mutualmecanicasmata.com.ar): farmacia con descuentos, subsidios por nacimiento/adopción y casamiento, seguro de vida 'El Seguro de los Mecánicos', planes de asistencia PMI/PMO, convenio de compras Diggit, beneficios en motos Honda, turismo.</t>
  </si>
  <si>
    <t xml:space="preserve">Web institucional prolija pero con poca autogestión del afiliado: lo online es para empleadores (boletas) y consultas de escalas. Diferenciales: programa de integridad con canal de denuncias anticorrupción online (poco común en sindicatos), red hotelera propia con descuento fijo del 15% y promos por temporada, mutual separada con marca propia de seguro ('El Seguro de los Mecánicos') y convenios de e-commerce (Diggit, Honda). Afiliación 100% presencial con documentación detallada en la web.</t>
  </si>
  <si>
    <t xml:space="preserve">https://www.smata.com.ar/
https://www.smata.com.ar/afiliacion/
https://www.smata.com.ar/turismo/
https://www.smata.com.ar/convenios-y-escalas/
https://www.mutualmecanicasmata.com.ar/
https://www.smata.com.ar/responsabilidad-institucional/</t>
  </si>
  <si>
    <t xml:space="preserve">SOEME</t>
  </si>
  <si>
    <t xml:space="preserve">Sindicato de Obreros y Empleados de la Minoridad y la Educación</t>
  </si>
  <si>
    <t xml:space="preserve">trabajadores no docentes de educación y minoridad (estatales y privados)</t>
  </si>
  <si>
    <t xml:space="preserve">nacional (sede central CABA, delegaciones provinciales)</t>
  </si>
  <si>
    <t xml:space="preserve">https://soeme.com/</t>
  </si>
  <si>
    <t xml:space="preserve">No hay app ni portal del afiliado. Sí hay tres sistemas web para establecimientos/empleadores: Sistema de Liquidación (app.soeme.com:20001), Intranet Privados (app.soeme.com:8080) y Gestión de Aportes (soeme.codertax.com). Botón flotante de WhatsApp para afiliados.</t>
  </si>
  <si>
    <t xml:space="preserve">no detectado (la ayuda financiera se otorga 'con fondos propios, sin intermediarios' del sindicato; obra social OSTEP separada)</t>
  </si>
  <si>
    <t xml:space="preserve">El dominio indicado (soeme.org.ar) no respondió; el sitio oficial activo es soeme.com y se usó ese. Sitio tipo catálogo: buen listado de subsidios de ciclo de vida y ayudas (anteojos, enfermedad grave, ayuda financiera con fondos propios) pero todo se gestiona por mail, WhatsApp o delegación, con afiliación en PDF por duplicado. Lo más original: ayuda financiera propia sin intermediarios por provincia, club de beneficios tercerizado, y una batería de portales online para el lado empleador (liquidación/aportes) que contrasta con la falta de autogestión para el afiliado. Tres páginas (kits escolares, bolso protegido, turismo) no pudieron leerse por límite de tasa del servidor (HTTP 429).</t>
  </si>
  <si>
    <t xml:space="preserve">https://soeme.com/
https://www.soeme.com/site/beneficios/
https://soeme.com/beneficios/
https://soeme.com/como-afiliarte/
https://soeme.com/ayuda-financiera-para-afiliados/
https://soeme.com/club-de-beneficios/</t>
  </si>
  <si>
    <t xml:space="preserve">SOMU</t>
  </si>
  <si>
    <t xml:space="preserve">Sindicato de Obreros Marítimos Unidos</t>
  </si>
  <si>
    <t xml:space="preserve">Marítimos (tripulantes de buques, pesca, cabotaje)</t>
  </si>
  <si>
    <t xml:space="preserve">https://somu.org.ar/</t>
  </si>
  <si>
    <t xml:space="preserve">Sistema de inscripción online a cursos de la escuela (sistema.somu.org.ar/escuela, no se pudo abrir por certificado SSL) y portal 'Acceso Empresas' (empresas.somu.org.ar) para armadores/empleadores. No se detectó app móvil ni portal del afiliado con credencial digital.</t>
  </si>
  <si>
    <t xml:space="preserve">Escuela 'Omar A. Rupp' (escuela de formación marítima propia del sindicato) que dicta cursos STCW reconocidos internacionalmente y cursos profesionales.</t>
  </si>
  <si>
    <t xml:space="preserve">El eje del sindicato es la formación habilitante: la escuela propia dicta los cursos STCW que el marítimo necesita para embarcar, con inscripción online en un sistema propio y un canal específico para afiliados del interior. Segundo eje: red de 7 hoteles/predios propios distribuidos en el país (incluido uno en CABA y campings gratuitos para afiliados con un invitado). No hay escalas salariales, credencial digital ni trámites del afiliado en la web; la gestión es descentralizada por predio (cada hotel con su propio teléfono/mail). Idea trasladable: catálogo de certificaciones obligatorias con vencimiento + inscripción a recertificación desde la app.</t>
  </si>
  <si>
    <t xml:space="preserve">https://somu.org.ar/
https://somu.org.ar/la-escuela/
https://somu.org.ar/turismo/
https://somu.org.ar/turismo/cabana-rio-carcarana/</t>
  </si>
  <si>
    <t xml:space="preserve">SPT</t>
  </si>
  <si>
    <t xml:space="preserve">Sindicato de Peones de Taxis de la Capital Federal</t>
  </si>
  <si>
    <t xml:space="preserve">Conductores de taxi (peones/choferes) - CCT 436/06</t>
  </si>
  <si>
    <t xml:space="preserve">seccional Capital Federal (integra la federación FEPETAX)</t>
  </si>
  <si>
    <t xml:space="preserve">https://www.spt.org.ar/</t>
  </si>
  <si>
    <t xml:space="preserve">Sin app ni portal integral, pero hay tres mini-sistemas web de autogestión enlazados desde 'Servicios': (a) sistema de libre deuda para transferencias (login por dominio), (b) generador de boletas de aportes para titulares/empleadores, (c) turnero web de inscripción a cursos (taxis.dtsconsulting.com.ar). Alojados en IPs/proveedores externos, sin login unificado.</t>
  </si>
  <si>
    <t xml:space="preserve">No detectado como mutual. Cuenta con obra social propia OSPETAX (excluida) y con el Polideportivo 'Centro Social y Recreativo San Martín'.</t>
  </si>
  <si>
    <t xml:space="preserve">Lo más original es que el sindicato actúa como intermediario regulatorio del rubro: (1) certificado de libre deuda de aportes por dominio como requisito para transferir licencias de taxi (el sindicato 'bloquea' la transferencia hasta regularizar), (2) generador online de boletas de aportes para titulares, y (3) turnero web para el curso anual obligatorio con asignación por dígito de DNI. Son autogestiones dirigidas a empleadores/titulares y a trabajadores no afiliados, montadas en sistemas dispersos de terceros (IPs sin dominio, proveedor DTS Consulting): una plataforma unificada con login podría absorber los tres. Beneficios de vida (ajuar, luna de miel) solo aparecen en prensa, no en la web. Sin app, credencial digital ni WhatsApp publicado.</t>
  </si>
  <si>
    <t xml:space="preserve">https://www.spt.org.ar/
https://www.spt.org.ar/servicios
https://www.spt.org.ar/consultas
https://www.spt.org.ar/turismo
https://gestionsindical.com/el-sindicato-de-peones-de-taxi-suma-beneficios-para-sus-afiliados/</t>
  </si>
  <si>
    <t xml:space="preserve">SSRA</t>
  </si>
  <si>
    <t xml:space="preserve">Sindicato del Seguro de la República Argentina</t>
  </si>
  <si>
    <t xml:space="preserve">Trabajadores de compañías de seguros, reaseguros, ART y productores</t>
  </si>
  <si>
    <t xml:space="preserve">https://www.sindicatodelseguro.com.ar/</t>
  </si>
  <si>
    <t xml:space="preserve">App móvil propia 'Sindicato del Seguro de la R.A' (Android +10.000 descargas, iOS; v1.23.0 ago-2026). Ofrece credenciales digitales con QR del sindicato, de OSSEG y de la mutual AMTRAS; bloqueo de captura de pantalla en credenciales; login por PIN/patrón; geolocalización de delegaciones; solicitud de ayudas (familiar, escolar, libros, guardería/pañales); turismo, polideportivos, Parque de la Costa, crédito hipotecario, revista Nexo, videos y noticias. Además hay portal web para empresas (cc.sindicatodelseguro.com) para gestión de aportes. NOTA: las subpáginas del sitio devuelven 403 a fetch automatizado; el detalle de servicios se armó con la home, las fichas de la app y el PDF de solicitud de turismo.</t>
  </si>
  <si>
    <t xml:space="preserve">AMTRAS (Asociación Mutual de Trabajadores del Seguro): credencial propia integrada en la app; el detalle de prestaciones no pudo leerse (403). FIDEC: entidad del sindicato que otorga préstamos personales a afiliados (en 2023 el sindicato y FIDEC otorgaron 323 préstamos según difusión oficial). IAF - Fundación de Inteligencia Artificial (iaf.ai): fundación del sindicato que dicta cursos gratuitos de IA aplicada, programación con IA y gestión del conocimiento, abiertos a toda la comunidad. También un IFTS N°1 (Tecnicatura Superior en Seguros) con el sindicato.</t>
  </si>
  <si>
    <t xml:space="preserve">Lo más original: (1) app con tres credenciales digitales (sindicato + obra social + mutual) con QR, bloqueo de screenshots y PIN; (2) las ayudas económicas (familiar, escolar, libros, guardería/pañales) se solicitan desde la app; (3) una fundación propia de inteligencia artificial (IAF) con cursos gratuitos abiertos a toda la comunidad, diferencial muy poco común en sindicatos; (4) casilla específica de denuncia de violencia laboral; (5) menú de app que incorpora beneficios puntuales (Parque de la Costa, crédito hipotecario) como submenús actualizables. Limitación del relevamiento: el sitio bloquea fetch de subpáginas (403), por lo que varios servicios están descriptos solo por nombre de sección.</t>
  </si>
  <si>
    <t xml:space="preserve">https://www.sindicatodelseguro.com.ar/
https://play.google.com/store/apps/details?id=com.sindicatoseguros&amp;hl=es-AR
https://apps.apple.com/ar/app/sindicato-del-seguro-de-la-r-a/id6482355379
https://www.sindicatodelseguro.com.ar/pdf/SOL_TUR_INTERIOR.pdf
https://iaf.ai/
https://100seguro.com.ar/el-sindicato-del-seguro-lanza-su-plan-anual-de-capacitacion-en-ia-para-el-mundo-laboral/</t>
  </si>
  <si>
    <t xml:space="preserve">STIA</t>
  </si>
  <si>
    <t xml:space="preserve">Sindicato de Trabajadores de la Industria de la Alimentación (Buenos Aires) / Federación FTIA</t>
  </si>
  <si>
    <t xml:space="preserve">industria de la alimentación</t>
  </si>
  <si>
    <t xml:space="preserve">seccional Buenos Aires (CABA y GBA) del STIA; la FTIA (ftia.org.ar) no respondió. Se complementa con datos de STIA Provincia de Buenos Aires (stiapba.org.ar)</t>
  </si>
  <si>
    <t xml:space="preserve">https://stia.org.ar/</t>
  </si>
  <si>
    <t xml:space="preserve">Sin app ni portal general del afiliado. Hay un formulario web con login (usuario = DNI, contraseña = número de afiliado) para inscribirse a útiles escolares; portal BOPE con login para empresas (boleta de aportes). STIA PBA tiene portal de solicitudes turísticas (solicitudes.stiapba.org.ar). Varios WhatsApp por secretaría.</t>
  </si>
  <si>
    <t xml:space="preserve">no detectado (obra social OSPIA con 'OSPIA Digital', excluida por ser prestación médica)</t>
  </si>
  <si>
    <t xml:space="preserve">stia.org.ar corresponde a la seccional Buenos Aires del STIA (la federación FTIA no tiene web accesible), por lo que la ficha es seccional. Lo mejor resuelto: escalas salariales históricas por convenio y escalafón por antigüedad publicados, y la inscripción web a útiles escolares con login DNI + nro. de afiliado (un mini-portal de autogestión para un solo trámite, buena idea escalable). Destacable la asesoría gremial específica sobre liquidación de sueldos y la medicina legal para accidentes, ambas con turnos por WhatsApp. STIA PBA aporta ideas: turismo por antigüedad con portal de solicitudes y subsidios con montos publicados pagados por CBU. Falta app, credencial digital y afiliación online; las reservas turísticas son por WhatsApp/teléfono.</t>
  </si>
  <si>
    <t xml:space="preserve">https://stia.org.ar/beneficios/
https://stia.org.ar/afiliate/
https://stia.org.ar/escala-salarial/
https://stia.org.ar/convenio-244-94/
https://stia.org.ar/asesoramientos/
https://stia.org.ar/capacitaciones/
https://stia.org.ar/nacimiento/
https://stia.org.ar/utiles-escolares-2/
https://stia.org.ar/cabanasentrerios/
https://stia.org.ar/deportes/
https://stia.org.ar/empresas/
https://stiapba.org.ar/sindicato/sindicato/beneficios-sociales-sindicales/</t>
  </si>
  <si>
    <t xml:space="preserve">SUTPA</t>
  </si>
  <si>
    <t xml:space="preserve">Sindicato Único de Trabajadores de los Peajes y Afines</t>
  </si>
  <si>
    <t xml:space="preserve">Trabajadores de peajes, concesiones viales y afines</t>
  </si>
  <si>
    <t xml:space="preserve">nacional (sede CABA)</t>
  </si>
  <si>
    <t xml:space="preserve">https://sutpa.com.ar/</t>
  </si>
  <si>
    <t xml:space="preserve">Sin app ni portal con login del afiliado. La mutual tiene una tienda online (proveeduría) con carrito de compras. WhatsApp publicado tanto en el sindicato como en la mutual; la asociación a la mutual se hace enviando la planilla firmada por WhatsApp.</t>
  </si>
  <si>
    <t xml:space="preserve">Mutual SUTPA - Asociación Mutual de los Trabajadores de Peajes y Afines (fundada 2015): proveeduría online, subsidios por nacimiento/casamiento/fallecimiento, turismo, convenios con comercios y ópticas.</t>
  </si>
  <si>
    <t xml:space="preserve">Ficha extra tomada de la lista de reserva. Dos ideas originales: (1) la mutual opera una tienda online propia (proveeduría con carrito) de electro/tecnología con descuentos, modelo de 'marketplace del afiliado' que una app podría integrar con pago por descuento en recibo; (2) los subsidios se expresan en múltiplos de la cuota social (20 cuotas por nacimiento/casamiento, 100 por fallecimiento), con designación previa de beneficiarios, lo que simplifica la actualización por inflación. También: alta a la mutual por foto de planilla vía WhatsApp y set de nacimiento con elección entre varios productos.</t>
  </si>
  <si>
    <t xml:space="preserve">https://sutpa.com.ar/
https://sutpa.com.ar/beneficios/
https://mutualsutpa.com.ar/
https://mutualsutpa.com.ar/proveeduria2/
https://mutualsutpa.com.ar/subsidios/</t>
  </si>
  <si>
    <t xml:space="preserve">UATRE</t>
  </si>
  <si>
    <t xml:space="preserve">Unión Argentina de Trabajadores Rurales y Estibadores</t>
  </si>
  <si>
    <t xml:space="preserve">Trabajadores rurales y estibadores</t>
  </si>
  <si>
    <t xml:space="preserve">https://www.uatre.org.ar/</t>
  </si>
  <si>
    <t xml:space="preserve">Sí. App 'UATRE Digital' (Android, lanzada sept. 2024) con registro por CUIL + contraseña + verificación SMS, que entrega la credencial digital del afiliado. Existe también una app 'UATRE' más antigua (Google Play, +10.000 descargas, desarrollador Sistemas Gremiales, categoría Comunicación; reseñas mencionan problemas de recuperación de contraseña) y una app iOS 'UATRE'. Además hay dos plataformas web con registro: beneficiosuatre.com.ar (programa de descuentos 'UATRE Beneficios', requiere registrarse) y uatresorteos.com.ar ('Sistema de Sorteos de Beneficios UATRE'). Ninguna pudo leerse en detalle (contenido dinámico/403).</t>
  </si>
  <si>
    <t xml:space="preserve">FUNDATRE (Fundación de la UATRE): gestiona Turismo Social (13 hoteles/campings propios + 70 por convenio), programas asistenciales 'Camino al Cole' (concurso anual con kits escolares) y 'Abrigo Solidario', donaciones deducibles, visitas guiadas y eventos. Obra social: OSPRERA (excluida).</t>
  </si>
  <si>
    <t xml:space="preserve">El sitio uatre.org.ar (ASP.NET) bloquea el acceso automatizado (403), por lo que el relevamiento se apoyó en FUNDATRE, tiendas de apps y prensa gremial. UATRE es de los sindicatos con más capas digitales: app de credencial digital con onboarding por CUIL + SMS (referencia directa para la app del trabajador), una segunda app de comunicación, una plataforma de beneficios con registro propio y un sistema de sorteos online de beneficios (idea original: gamificar beneficios escasos por sorteo transparente). La fundación FUNDATRE concentra turismo social a gran escala (13 propios + 70 convenio) con políticas de inclusión concretas (4 noches gratis con CUD, luna de miel gratis, tarifas jubilados) que todavía se gestionan por mail/teléfono: hay oportunidad de digitalizar reservas y tarifarios. Recomendación: verificar manualmente uatre.org.ar/beneficios, beneficiosuatre.com.ar y uatresorteos.com.ar en navegador.</t>
  </si>
  <si>
    <t xml:space="preserve">https://www.uatre.org.ar/ (solo metadatos; /beneficios, /turismo.aspx y /gremiales devolvieron 403)
https://fundatre.org.ar/
https://fundatre.org.ar/turismo-social/
https://fundatre.org.ar/beneficios-para-afiliados-con-capacidades-diferentes-y-jubilados/
https://play.google.com/store/apps/details?id=com.galgo.uatre
https://www.lineasindical.com.ar/uatre-lanz-credencial-digital-para-afiliadosas-n-1739040.html
https://beneficiosuatre.com.ar/register (sin contenido legible)
https://www.uatresorteos.com.ar/ (sin contenido legible)</t>
  </si>
  <si>
    <t xml:space="preserve">UECARA</t>
  </si>
  <si>
    <t xml:space="preserve">Unión Empleados de la Construcción y Afines de la República Argentina</t>
  </si>
  <si>
    <t xml:space="preserve">Personal administrativo, técnico y jerárquico de empresas constructoras (CCT 660/13)</t>
  </si>
  <si>
    <t xml:space="preserve">nacional (sede central CABA, seccionales y delegaciones en provincias)</t>
  </si>
  <si>
    <t xml:space="preserve">https://uecara.org.ar/</t>
  </si>
  <si>
    <t xml:space="preserve">Sin app ni portal del afiliado. Existe 'UECARA Online' (uecaraonline.com.ar), portal con login para que las EMPRESAS presenten declaraciones juradas de aportes. La página de kit escolar menciona que el afiliado debe estar 'inscripto previamente en la página web', lo que sugiere un registro/preinscripción online para beneficios (no localizado como portal). WhatsApp institucional publicado (+54 9 11 2188-1327).</t>
  </si>
  <si>
    <t xml:space="preserve">No detectado. Obra social OSPATCA (excluida). Centros de capacitación propios con certificación de la UTN-FRBA.</t>
  </si>
  <si>
    <t xml:space="preserve">Sindicato de perfil 'oficina técnica': su diferencial es la oferta formativa con certificación universitaria (UTN) en modalidad híbrida (presencial + streaming en vivo) con temas muy pegados al rubro (AutoCAD, Revit, cómputo y presupuesto, IA aplicada a obras) y preinscripción online. Bien resuelto también el esquema de acceso a centros recreativos con reglas claras (gratis afiliado + familia, cupo de invitados arancelado, tarifa distinta para beneficiarios de obra social no afiliados) y el kit escolar con ventana de inscripción y checklist de documentos. Tiene portal con login pero solo para empresas (DDJJ), no para el afiliado; la mención a 'inscripción previa en la web' para beneficios sugiere una necesidad no cubierta de registro/self-service del afiliado. Escalas solo en PDF.</t>
  </si>
  <si>
    <t xml:space="preserve">https://uecara.org.ar/
https://uecara.org.ar/beneficios/
https://uecara.org.ar/formularios/
https://uecara.org.ar/salarios/
https://uecara.org.ar/beneficios/ayuda-escolar-anual/
https://uecara.org.ar/beneficios/centros-recreativos/
https://uecara.org.ar/capacitaciones/capacitaciones-en-centros-de-uecara-certificadas-por-universidades/</t>
  </si>
  <si>
    <t xml:space="preserve">UF</t>
  </si>
  <si>
    <t xml:space="preserve">Unión Ferroviaria</t>
  </si>
  <si>
    <t xml:space="preserve">ferroviarios y portuarios</t>
  </si>
  <si>
    <t xml:space="preserve">https://unionferroviaria.org.ar/</t>
  </si>
  <si>
    <t xml:space="preserve">No detectado en el sitio del sindicato (sin login de afiliado, sin app). La mutual AMUF menciona una plataforma digital 'SEAMUF' con formularios y seguimiento de solicitudes, y una proveeduría online con cuenta de usuario.</t>
  </si>
  <si>
    <t xml:space="preserve">Asociación Mutual Unión Ferroviaria (AMUF): ayuda económica / préstamos personales con descuento por recibo, premio por nacimiento, premio por matrimonio, turismo (administra el Hotel Astor), proveeduría online de electrodomésticos financiable con préstamo AMUF. Instituto 6 de Octubre (2014): formación técnica, tecnicaturas, terminalidad secundaria (Plan Fines / Adultos 2000), convenios universitarios (ingeniería con orientación ferroviaria), formación de formadores y dirigentes.</t>
  </si>
  <si>
    <t xml:space="preserve">El PAS (Plan de Acción Social) es un catálogo de subsidios muy completo y bien documentado (requisitos, plazos y documentación por beneficio), pero todo se gestiona en papel: no hay portal de autogestión, app ni credencial digital en el sitio del sindicato. Ideas rescatables: beneficios 'de ciclo de vida' con estadía gratuita en hoteles propios como premio (casamiento, jubilación), pago por CBU, fondo de sepelio con reintegro vía aseguradora, biblioteca propia, y la mutual con préstamos y proveeduría online de electrodomésticos financiable con el mismo préstamo. La mutual tiene varios dominios (mutualuf.ar, mutualuf.org, mutualamuf.com.ar) con información fragmentada; mutualuf.org no respondió. Fuerte diferencial en formación (instituto propio con tecnicaturas y terminalidad).</t>
  </si>
  <si>
    <t xml:space="preserve">https://unionferroviaria.org.ar/
https://unionferroviaria.org.ar/plan-de-accion-social-pas/
https://unionferroviaria.org.ar/otros-beneficios/
https://unionferroviaria.org.ar/capacitar-y-formar/
https://unionferroviaria.org.ar/turismo/
https://mutualuf.ar/mutualuf/
https://www.mutualamuf.com.ar/servicios_proveeduria_online.php</t>
  </si>
  <si>
    <t xml:space="preserve">UOMA</t>
  </si>
  <si>
    <t xml:space="preserve">Unión Obrera Molinera Argentina</t>
  </si>
  <si>
    <t xml:space="preserve">Industria molinera (molinos harineros, arroceros, yerbateros, fideeros y afines)</t>
  </si>
  <si>
    <t xml:space="preserve">https://www.uoma.org.ar/</t>
  </si>
  <si>
    <t xml:space="preserve">No hay app ni portal de autogestión propio del sindicato para afiliados. Existe la app 'Molineros' publicada por la obra social OSPIM junto con UOMA y AMTIMA (Google Play, +5.000 descargas, actualizada sep-2026, calificación baja 2,8 por problemas de registro) con credencial digital, cartilla, reintegros y autorizaciones. Para empleadores hay un portal con login (uomaempleadores.org.ar) para gestión de aportes.</t>
  </si>
  <si>
    <t xml:space="preserve">AMTIMA - Asociación Mutual de Trabajadores de la Industria Molinera Argentina (matrícula 624, +40 años, +40 filiales). Todo incluido en la cuota mutual: maternidad (acompañamiento desde el embarazo, practicuna y butaca infantil para segundos hijos), escolaridad (kits escolares, mochilas y subsidios), turismo (paquetes y beneficios), viaje de bodas, telemedicina gratuita y subsidios económicos. Contacto por mail, WhatsApp y formulario web.</t>
  </si>
  <si>
    <t xml:space="preserve">Sitio sencillo pero con dos piezas destacables: un simulador salarial online por provincia/localidad/categoría/antigüedad (poco común en sindicatos medianos) y un formulario de consulta legal que explícitamente admite no afiliados. El ecosistema mutual AMTIMA es rico en beneficios de ciclo de vida (maternidad con practicuna/butaca, kit escolar, viaje de bodas, telemedicina) todo incluido en la cuota, buen modelo de 'beneficios por evento vital'. La app Molineros es compartida con la obra social y tiene mala calificación por problemas de registro, señal de que la integración sindicato+OS+mutual en una app es valorada pero difícil de ejecutar.</t>
  </si>
  <si>
    <t xml:space="preserve">https://www.uoma.org.ar/
https://www.uoma.org.ar/simulador.html
https://www.uoma.org.ar/beneficios.html
https://www.uoma.org.ar/turismo.html
https://www.uoma.org.ar/legales.html
https://amtima.org.ar/inicio/
https://play.google.com/store/apps/details?id=com.ospim.molineros&amp;hl=es</t>
  </si>
  <si>
    <t xml:space="preserve">UPACP</t>
  </si>
  <si>
    <t xml:space="preserve">Unión Personal Auxiliar de Casas Particulares</t>
  </si>
  <si>
    <t xml:space="preserve">trabajadoras/es de casas particulares (servicio doméstico, cuidados)</t>
  </si>
  <si>
    <t xml:space="preserve">nacional (sede central CABA y delegaciones en el interior)</t>
  </si>
  <si>
    <t xml:space="preserve">https://upacp.org.ar/</t>
  </si>
  <si>
    <t xml:space="preserve">No hay app ni portal con login ni credencial digital. Sí herramientas web abiertas: Calculadora de Sueldos (CIDCP), escalas salariales, tabla de aportes, formularios y guías PDF. La Escuela ESDU tiene sitio propio (esdu.ar).</t>
  </si>
  <si>
    <t xml:space="preserve">Escuela de Capacitación ESDU (esdu.ar): cursos y talleres gratuitos de formación profesional y terminalidad primaria y secundaria. No se detectó mutual.</t>
  </si>
  <si>
    <t xml:space="preserve">Sindicato de un sector atomizado (un empleador por trabajadora) y su web lo refleja: lo más fuerte son las herramientas abiertas para no afiliados y para empleadores (calculadora de sueldos con liquidación final e indemnización, escalas, tabla de aportes, guías), que sirven como gancho de afiliación. Muy bien resuelta la calculadora: anónima, con descarga/compartir y aviso de validez orientativa. La formación (ESDU con terminalidad primaria/secundaria gratuita) y la bolsa de trabajo son diferenciales del rubro. Todo lo relacional (afiliación, bolsa, asesoría, turismo) sigue siendo presencial: bolsa de trabajo online y afiliación digital serían saltos evidentes.</t>
  </si>
  <si>
    <t xml:space="preserve">https://upacp.org.ar/
https://upacp.org.ar/?page_id=879
https://upacp.org.ar/?page_id=941
https://upacp.org.ar/?page_id=30176</t>
  </si>
  <si>
    <t xml:space="preserve">UPJET</t>
  </si>
  <si>
    <t xml:space="preserve">Unión del Personal Jerárquico de Empresas de Telecomunicaciones (reemplazo de UPCN, cuyo sitio upcndigital.org no pudo leerse por certificado SSL inválido)</t>
  </si>
  <si>
    <t xml:space="preserve">personal jerárquico de telecomunicaciones (Telecom, Telefónica/Movistar, cooperativas)</t>
  </si>
  <si>
    <t xml:space="preserve">https://upjet.org.ar/</t>
  </si>
  <si>
    <t xml:space="preserve">Portal de login (upjet.org.ar/upjetlogin) existente; la página de Autogestión dice 'Próximamente estaremos habilitando el sistema de auto gestión on-line' (en construcción). Sin app móvil, credencial digital ni calculadora. Afiliación híbrida (PDF + envío por mail + firma en papel).</t>
  </si>
  <si>
    <t xml:space="preserve">Fondo Compensador Telefónico (F.C.T., complemento jubilatorio del sector con sección propia); IDETEL (instituto de formación); Fundación Mercedes Sosa (cultura); Complejo La Torre (predio recreativo propio).</t>
  </si>
  <si>
    <t xml:space="preserve">Sindicato chico pero con catálogo de beneficios muy prolijo y ordenado por categorías (educación, turismo, asesoramiento, subsidios, convenios) con regla de elegibilidad explícita (6 meses de afiliación). Ideas destacables para un jerárquico: asesoría contable-impositiva y curso de Ganancias/Bienes Personales, sección Teletrabajo, actas salariales separadas por empresa, gift card multimarca para Día del Niño (fácil de digitalizar), tarifario público del complejo propio, descuento diferenciado por medio de pago en turismo, radio y canal propios. Debilidad clara: la autogestión online está anunciada pero 'en construcción' y la afiliación sigue requiriendo papel firmado; sin app, sin credencial digital.</t>
  </si>
  <si>
    <t xml:space="preserve">https://www.upjet.org.ar/
https://upjet.org.ar/beneficios/
https://upjet.org.ar/autogestion
https://upjet.org.ar/afiliacion
https://upjet.org.ar/turismo/turismo-prestaciones/</t>
  </si>
  <si>
    <t xml:space="preserve">UPSRA</t>
  </si>
  <si>
    <t xml:space="preserve">Unión Personal de Seguridad de la República Argentina</t>
  </si>
  <si>
    <t xml:space="preserve">Vigilancia y seguridad privada</t>
  </si>
  <si>
    <t xml:space="preserve">https://upsra.org.ar/</t>
  </si>
  <si>
    <t xml:space="preserve">No hay app ni portal de autogestión con login para el afiliado. Existe un 'Sistema de Credenciales Digitales QR' anunciado en marzo 2025 (la nota solo tiene imágenes, sin explicación textual del procedimiento). Para empresas hay un 'Sistema de Boletas de Pago' externo (osocial.com.ar) para aportes y afiliaciones.</t>
  </si>
  <si>
    <t xml:space="preserve">IFP-UPSRA (Instituto de Formación Profesional): capacitación a distancia y presencial (curso básico de vigilador, supervisor de seguridad privada, operador de monitoreo, secundario, 'cultura en el trabajo'). No se detecta mutual ni cooperativa. Obra social: OSPSIP.</t>
  </si>
  <si>
    <t xml:space="preserve">Sitio institucional con secciones claras de beneficios (requisitos y documentación explícitos por beneficio) pero sin autogestión: casi todo termina en mail afiliaciones@ o presencial. Diferenciales: credencial digital QR recién lanzada (sin documentación pública), subsidio por matrimonio canjeable por hospedaje en hotel propio, formulario online para reservar el Campo Evita, instituto propio de formación a distancia (IFP) orientado a la matrícula habilitante del vigilador, y un portal de boletas para empresas (lado empleador) que podría inspirar un módulo de aportes en el panel del sindicato. Exclusiones: telemedicina 24 hs y emergencias son prestaciones de la obra social OSPSIP.</t>
  </si>
  <si>
    <t xml:space="preserve">https://www.upsra.org.ar/
https://upsra.org.ar/sitio/beneficios/
https://upsra.org.ar/sitio/turismo/
https://upsra.org.ar/sitio/2025/03/28/nuevo-sistema-de-credenciales-digitales-qr/</t>
  </si>
  <si>
    <t xml:space="preserve">UTHGRA</t>
  </si>
  <si>
    <t xml:space="preserve">Unión de Trabajadores del Turismo, Hoteleros y Gastronómicos de la República Argentina</t>
  </si>
  <si>
    <t xml:space="preserve">gastronomía, hotelería y turismo</t>
  </si>
  <si>
    <t xml:space="preserve">http://www.uthgra.org.ar/</t>
  </si>
  <si>
    <t xml:space="preserve">Credencial digital UTHGRA/OSUTHGRA con manual de registro descargable (no se detectó nombre de app). Sistema web de impresión de boletas (boletasuthgra.org.ar) para empleadores y monotributistas. Sitio de turismo separado (uthgraturismo.com.ar) con WhatsApp vía QR. Consultas seccionales web. No se detectó portal de autogestión del afiliado con login en el sitio principal.</t>
  </si>
  <si>
    <t xml:space="preserve">IPLIDO (Instituto para la Igualdad de Oportunidades, https://www.iplido.org.ar) - instituto del gremio dedicado a igualdad de género. No se detectó mutual.</t>
  </si>
  <si>
    <t xml:space="preserve">Lo más destacable es el COA: un call center 24x7 gratuito con más de 1000 llamadas diarias, como canal único de orientación (idea: replicarlo con chatbot/WhatsApp). Credencial digital unificada sindicato+obra social con manual de registro. Turismo social muy resuelto (paquete todo incluido con transporte desde la seccional). Montos de asignación por fallecimiento publicados y actualizados. Debilidades: no hay afiliación online ni portal de autogestión visible; capacitación sin catálogo. Sistema de boletas online orientado a empleadores y monotributistas.</t>
  </si>
  <si>
    <t xml:space="preserve">https://www.uthgra.org.ar/
http://www.uthgra.org.ar/servicios/centro-de-orientacion-al-afiliado/
http://www.uthgra.org.ar/servicios/afiliaciones/
http://www.uthgra.org.ar/turismo
http://www.uthgra.org.ar/servicios/seguros/
http://www.uthgra.org.ar/capacitacion</t>
  </si>
  <si>
    <t xml:space="preserve">AAA</t>
  </si>
  <si>
    <t xml:space="preserve">Asociación Argentina de Aeronavegantes</t>
  </si>
  <si>
    <t xml:space="preserve">Tripulantes de cabina de pasajeros (aeronavegación comercial)</t>
  </si>
  <si>
    <t xml:space="preserve">https://www.aeronavegantes.org.ar/</t>
  </si>
  <si>
    <t xml:space="preserve">no detectado (sitio estático de una sola página; toda la gestión es por mail, teléfono o WhatsApp)</t>
  </si>
  <si>
    <t xml:space="preserve">AMDTA - Asociación Mutual de Tripulantes Aeronáuticos (amdta.org.ar): servicios solidarios, seguro por licencia prolongada, seguro de sepelio, turismo, recreación y capacitación; edita la revista trimestral 'Integrar'. IFPA - Instituto de Formación Profesional Aeronáutica (ifpa.edu.ar), instituto certificado por ANAC 'recomendado oficialmente' por la AAA, con cursos de TCP, despachante de aeronaves e inglés aeronáutico, abierto al público general.</t>
  </si>
  <si>
    <t xml:space="preserve">Web de una sola página, sin autogestión, pero el catálogo de beneficios está muy bien adaptado al perfil del tripulante: seguro por licencia prolongada (pérdida de aptitud psicofísica), asesoramiento de impuesto a las ganancias, subsidio por excedencia, idiomas gratuitos, y un 'regalo de cumpleaños' anual con opciones según perfil (con/sin hijos). El instituto IFPA funciona como escuela de tripulantes abierta al público, con inscripción y cursos online, es decir, el sindicato forma a sus futuros afiliados. Todo se gestiona por mails específicos por área (afiliaciones@, capacitacion@, ganancias@, seguro@), un patrón fácil de reemplazar por un módulo de trámites en app.</t>
  </si>
  <si>
    <t xml:space="preserve">https://www.aeronavegantes.org.ar/
http://amdta.org.ar/
https://www.ifpa.edu.ar/</t>
  </si>
  <si>
    <t xml:space="preserve">AAPM</t>
  </si>
  <si>
    <t xml:space="preserve">Asociación Agentes de Propaganda Médica de la República Argentina</t>
  </si>
  <si>
    <t xml:space="preserve">agentes de propaganda médica (visitadores médicos de la industria farmacéutica)</t>
  </si>
  <si>
    <t xml:space="preserve">nacional (24 seccionales)</t>
  </si>
  <si>
    <t xml:space="preserve">https://www.aapmra.com/</t>
  </si>
  <si>
    <t xml:space="preserve">no detectado para el sindicato (aapm.org.ar no respondió; el sitio vigente es aapmra.com). Existe un portal 'Empresas' (empresas.apm.org.ar) para laboratorios/empleadores, y la obra social OSAPM anuncia carnet y trámites online (no relevado por ser obra social). Contacto por WhatsApp directo desde la web.</t>
  </si>
  <si>
    <t xml:space="preserve">Instituto de Formación APM (cursosapm.com.ar): 'única carrera reconocida' de Agente de Propaganda Médica, carrera corta. Instituto de Estudios sobre Políticas de Salud (IEPS) con el Observatorio de Medicamentos y Salud Internacional.</t>
  </si>
  <si>
    <t xml:space="preserve">Web principalmente institucional/noticias; no se detectó afiliación online, app ni credencial digital del sindicato (la obra social OSAPM sí tiene carnet digital). Lo diferencial: (1) el sindicato controla la formación de ingreso a la profesión con su propio instituto y 'carrera reconocida', lo que le da un canal hacia no afiliados/futuros trabajadores; (2) un Observatorio/centro de estudios que produce conocimiento del sector (banco de precios de medicamentos) como servicio público; (3) recopilación de leyes provinciales de profesionalidad, específica del rubro; (4) reserva hotelera por mail con un formato de datos obligatorio muy explícito, fácilmente convertible en formulario de reserva estructurado.</t>
  </si>
  <si>
    <t xml:space="preserve">https://www.aapmra.com/
https://www.aapmra.com/st/turismo
https://www.aapmra.com/st/derechos
https://www.aapmra.com/observatorio</t>
  </si>
  <si>
    <t xml:space="preserve">CTERA</t>
  </si>
  <si>
    <t xml:space="preserve">Confederación de Trabajadores de la Educación de la República Argentina</t>
  </si>
  <si>
    <t xml:space="preserve">docentes (confederación nacional de sindicatos docentes provinciales)</t>
  </si>
  <si>
    <t xml:space="preserve">nacional (confederación; los servicios al afiliado individual los presta cada sindicato de base)</t>
  </si>
  <si>
    <t xml:space="preserve">https://www.ctera.org.ar/</t>
  </si>
  <si>
    <t xml:space="preserve">no detectado (sin app, sin login, sin credencial). Solo plataformas de contenido: Escuela Marina Vilte (educacion.ctera.org.ar), Mediateca Pedagógica (mediateca.ctera.org.ar) e Instituto IIPMV.</t>
  </si>
  <si>
    <t xml:space="preserve">Escuela de Formación Pedagógica y Sindical 'Marina Vilte' (cursos virtuales abiertos), Instituto de Investigaciones Pedagógicas 'Marina Vilte' (IIPMV) y Mediateca Pedagógica (biblioteca digital). No hay mutual.</t>
  </si>
  <si>
    <t xml:space="preserve">CTERA es una confederación: no atiende afiliados individuales, así que casi no hay trámites. Lo distintivo es la formación: la Escuela Marina Vilte ofrece cursos virtuales abiertos, autodirigidos y sin inscripción (modelo 'contenido abierto' en vez de campus con login), más mediateca e instituto de investigación. Acción social se limita a agregar (casas de docentes, hoteles con descuento) lo que prestan los sindicatos de base. Idea rescatable para la plataforma: una capa 'federación' que publique catálogo de alojamientos/convenios de todos los sindicatos miembro y redirija la reserva al sindicato que lo administra.</t>
  </si>
  <si>
    <t xml:space="preserve">https://www.ctera.org.ar/
https://ctera.org.ar/category/accion-social/casas-de-docentes/
https://educacion.ctera.org.ar/</t>
  </si>
  <si>
    <t xml:space="preserve">FOECYT</t>
  </si>
  <si>
    <t xml:space="preserve">Federación de Obreros y Empleados de Correos y Telecomunicaciones</t>
  </si>
  <si>
    <t xml:space="preserve">Trabajadores postales y de telecomunicaciones (Correo Argentino y empresas postales privadas)</t>
  </si>
  <si>
    <t xml:space="preserve">nacional (federación de sindicatos provinciales; sitio de la federación, no de las seccionales)</t>
  </si>
  <si>
    <t xml:space="preserve">https://www.foecytargentina.org/</t>
  </si>
  <si>
    <t xml:space="preserve">No detectado. El sitio es institucional + noticias; la única interacción es el WhatsApp de reservas del hotel.</t>
  </si>
  <si>
    <t xml:space="preserve">No detectado en el sitio de la federación (los sindicatos federados provinciales pueden tener mutuales propias, no relevadas).</t>
  </si>
  <si>
    <t xml:space="preserve">Sitio de baja calidad informativa: institucional y noticias, sin afiliación online, sin escalas, sin trámites. El único diferencial es la infraestructura hotelera propia (dos hoteles + recreo con alojamiento) y el uso de un link directo de WhatsApp para reservas del hotel. Al ser una federación, los servicios reales viven en los sindicatos provinciales (ej. sindicatofoecytsantafe.org, sitracytparana.com), no relevados. Se mantuvo FOECYT en lugar de reemplazarlo porque el sitio responde y tiene contenido, pero se agregó SUTPA (lista de reserva) como ficha extra por su mutual con proveeduría online.</t>
  </si>
  <si>
    <t xml:space="preserve">https://www.foecytargentina.org/
https://www.foecytargentina.org/project/buenos-aires-hotel-telepostal-eva-peron/
https://www.foecytargentina.org/project/recreos-zonales/
https://www.foecytargentina.org/legislacion/</t>
  </si>
  <si>
    <t xml:space="preserve">LYF</t>
  </si>
  <si>
    <t xml:space="preserve">Federación Argentina de Trabajadores de Luz y Fuerza (FATLyF) + Sindicato de Luz y Fuerza de Capital Federal</t>
  </si>
  <si>
    <t xml:space="preserve">energía eléctrica (generación, transporte y distribución)</t>
  </si>
  <si>
    <t xml:space="preserve">nacional (federación de 41 sindicatos) + seccional Capital Federal (luzyfuerza.org no correspondía a Capital; el sitio del sindicato es luzyfuerzacapital.com.ar)</t>
  </si>
  <si>
    <t xml:space="preserve">https://fatlyf.org/</t>
  </si>
  <si>
    <t xml:space="preserve">No detectado en el sindicato. FATLyF enlaza al 'Portal OSFATLYF' (osfatlyf.org/portal) que es de la obra social. Sin app propia, sin credencial digital, sin afiliación online (la página 'Afiliate' de Capital dice 'Próximamente más información').</t>
  </si>
  <si>
    <t xml:space="preserve">FATLyF: Instituto de Formación Social y Capacitación Sindical 'Adalberto Wimer' (cursos de formación sindical), Fundaluz XXI (fundación), Biblioteca digital, Intersur Hoteles (cadena hotelera propia) y Turismo Volts (agencia de turismo social). LyF Capital: Cooperativa de Crédito, Cooperativa de Seguros (luzyfuerzaseguros.com.ar) y Cooperativa de Vivienda; colegios, jardines, centro de formación profesional y hogar de jubilados propios.</t>
  </si>
  <si>
    <t xml:space="preserve">Luz y Fuerza tiene un ecosistema de instituciones propias enorme (hoteles, cooperativas de crédito/seguros/vivienda, colegios, jardines, hogar de jubilados, instituto de formación, fundación) pero casi nada está digitalizado: los sitios son vitrinas con teléfonos y mails, la página de trámites previsionales está vacía y 'Afiliate' dice 'próximamente'. Diferenciales: el modelo de cooperativas (crédito + seguros + vivienda) como capa financiera del gremio, la guía '¿Cómo me jubilo?' como contenido de autoservicio previsional y la formación sindical estructurada en trayectos (oratoria, negociación, liderazgo). La brecha entre oferta real y autogestión digital es la mayor de las relevadas: cualquier módulo de reservas de hoteles/campings, solicitud de crédito o reclamo online sería un salto grande.</t>
  </si>
  <si>
    <t xml:space="preserve">https://fatlyf.org/
https://fatlyf.org/secretarias/secreataria-de-turismo-social/
https://fatlyf.org/instituto-adalberto-wimer/
https://luzyfuerzacapital.com.ar/
https://luzyfuerzacapital.com.ar/cooperativas/
https://luzyfuerzacapital.com.ar/turismo-y-recreacion/
https://luzyfuerzacapital.com.ar/prevision-social-y-tramites/
https://luzyfuerzacapital.com.ar/afiliate/</t>
  </si>
  <si>
    <t xml:space="preserve">PETROLEROS_PRIVADOS</t>
  </si>
  <si>
    <t xml:space="preserve">Sindicato de Petróleo y Gas Privado de Río Negro, Neuquén y La Pampa (Petroleros Privados)</t>
  </si>
  <si>
    <t xml:space="preserve">Petróleo y gas privado (Vaca Muerta / Cuenca Neuquina)</t>
  </si>
  <si>
    <t xml:space="preserve">regional Río Negro, Neuquén y La Pampa</t>
  </si>
  <si>
    <t xml:space="preserve">https://sindicatopetroleros.org/</t>
  </si>
  <si>
    <t xml:space="preserve">no detectado (no hay app, login de afiliado ni credencial digital; el único componente online es un formulario de reserva del salón de eventos)</t>
  </si>
  <si>
    <t xml:space="preserve">MEOPP (Mutual de Empleados y Obreros Petroleros Privados): el alta a la mutual se hace en el mismo acto que la afiliación sindical; su sitio meopp.mutual.ar no expone contenido legible. MEOPP ART Mutual (aseguradora de riesgos del trabajo propia del gremio, meopp-art.org.ar). Obra social: OSPePri (excluida). El sindicato también opera clínicas y consultorios propios (Catriel, Plaza Huincul, Rincón de los Sauces, Clínica Pinar y torre de consultorios en Neuquén) que se excluyen por ser prestaciones de salud.</t>
  </si>
  <si>
    <t xml:space="preserve">Sitio WordPress con menú ambicioso pero mantenido pobremente: la mayoría de las páginas de beneficios devuelven 404/500, no hay escalas salariales ni convenio publicados, ni app, ni credencial digital. Lo destacable es el modelo institucional (sindicato + mutual + ART mutual + obra social + clínicas propias en un mismo ecosistema, con afiliación conjunta en un solo acto y antigüedad mínima de 6 meses de aportes a las tres entidades para acceder a beneficios) y la infraestructura recreativa propia en 5 localidades con reserva online de salón (regla: 60 días de anticipación, 1 reserva anual, listado de invitados con DNI). Ideas: módulo de reserva de espacios con reglas de elegibilidad por antigüedad de aportes; turismo con subsidio porcentual (50%). Se mantiene el sindicato en la lista aunque la calidad sea baja, porque su modelo de integración mutual/ART es un caso relevante.</t>
  </si>
  <si>
    <t xml:space="preserve">https://sindicatopetroleros.org/inicio/
https://sindicatopetroleros.org/afiliaciones/
https://sindicatopetroleros.org/beneficios/neuquen-capital/
https://meopp.mutual.ar/ (sin contenido legible)
https://sindicatopetroleros.org/beneficios/ y subpáginas de subsidios/becas/ayuda económica/turismo social (404 y 500)</t>
  </si>
  <si>
    <t xml:space="preserve">SOESGyPE</t>
  </si>
  <si>
    <t xml:space="preserve">Sindicato de Obreros y Empleados de Estaciones de Servicio, GNC, Garages, Playas de Estacionamiento y Lavaderos</t>
  </si>
  <si>
    <t xml:space="preserve">Estaciones de servicio, GNC, garages, playas de estacionamiento y lavaderos</t>
  </si>
  <si>
    <t xml:space="preserve">seccional Capital Federal y GBA (sede central; hay sindicatos homónimos provinciales con webs propias, y la federación FOESGRA)</t>
  </si>
  <si>
    <t xml:space="preserve">https://soesgype.com.ar/sitio/</t>
  </si>
  <si>
    <t xml:space="preserve">Portal Empresas con login (soesgype.ar/Account/Login) para empleadores: períodos de contribución patronal extraordinaria y aportes. Página para pagos del Fondo Convencional CCT 521 (con link al portal de FECRA). No se detectó app móvil, portal del afiliado, credencial digital ni afiliación online. Sitio con tres 'caras' (sindicato / mutual / federación) bajo el mismo dominio, tecnología antigua (menciona Flash).</t>
  </si>
  <si>
    <t xml:space="preserve">Mutual '27 de Agosto' (subsitio inicio-mut.php): subsidios por nacimiento, casamiento y fallecimiento, leche maternizada, ajuar, útiles escolares, capacitación profesional (Alsina 2072, cursos de 4 meses), asesoramiento jurídico y jubilatorio, odontología, óptica/ortopedia con 40% dto., peluquería/podología. Federación FOESGRA (inicio-fed.php). Obra social OSPESGYPE (excluida).</t>
  </si>
  <si>
    <t xml:space="preserve">Web antigua (PHP con restos de Flash) y sin autogestión del afiliado, pero con un catálogo de beneficios de mutual muy concreto y con reglas explícitas que sirven de modelo de 'reglas de negocio': subsidios expresados en múltiplos de la cuota social (20 cuotas), plazo de caducidad de 90 días, pago en 15 días, antigüedad mínima de 1 año para útiles escolares, requisito de doble carnet (sindical + mutual). Beneficios originales: leche maternizada 3 meses, ajuar muy detallado retirable en cualquier delegación, peluquería/podología en sede. El repositorio de escalas por 8 convenios distintos muestra la complejidad multi-CCT del rubro (un buscador por convenio/categoría sería un diferencial claro). La única digitalización real es hacia las empresas (portal de aportes y fondo convencional).</t>
  </si>
  <si>
    <t xml:space="preserve">https://soesgype.com.ar/sitio/inicio-sin.php
https://soesgype.com.ar/sitio/afiliacion-sin.php
https://soesgype.com.ar/sitio/escalas-sin.php
https://soesgype.com.ar/sitio/beneficios-mut.php
https://soesgype.com.ar/sitio/inicio-mut.php
https://soesgype.com.ar/sitio/turismo-sin.php
https://soesgype.com.ar/sitio/recreacion-sin.php
https://soesgype.com.ar/sitio/fondoconv/521.php</t>
  </si>
  <si>
    <t xml:space="preserve">STIHMPRA</t>
  </si>
  <si>
    <t xml:space="preserve">Sindicato de Trabajadores de la Industria del Hielo y Mercados Particulares de la República Argentina (REEMPLAZO de SUTNA: sutna.org.ar no resolvió DNS/robots; FOCRA focra.org devolvió 404)</t>
  </si>
  <si>
    <t xml:space="preserve">Industria del hielo, mercados particulares (frutihortícolas y afines)</t>
  </si>
  <si>
    <t xml:space="preserve">https://stihmpra.org.ar/</t>
  </si>
  <si>
    <t xml:space="preserve">No detectado para afiliados. Portal web de 'Boletas de Pago' con login por CUIT y clave para empresas (registro online, generación de boletas de aportes, consulta de CBU, recuperación de clave), válido solo para empresas con trabajadores en Buenos Aires, Bahía Blanca, Córdoba, Tucumán y Santiago del Estero; otras seccionales tienen portales separados.</t>
  </si>
  <si>
    <t xml:space="preserve">no detectado (obra social OSPIHMP excluida)</t>
  </si>
  <si>
    <t xml:space="preserve">Sindicato chico con web informativa. Lo rescatable: beneficios en especie muy concretos ligados al ciclo de vida (guardapolvo primario, leche en polvo el primer año, sepelio familiar) y un portal de boletas para empleadores con autorregistro por CUIT. Publica actas electorales online, práctica de transparencia poco frecuente. Todo lo del afiliado sigue siendo presencial: candidato obvio para credencial digital y solicitud de beneficios en app.</t>
  </si>
  <si>
    <t xml:space="preserve">https://stihmpra.org.ar/
https://stihmpra.org.ar/beneficios.php
https://stihmpra.org.ar/inscripciones.php
https://stihmpra.org.ar/boleta/boletas.php</t>
  </si>
  <si>
    <t xml:space="preserve">STVyARA</t>
  </si>
  <si>
    <t xml:space="preserve">Sindicato de Trabajadores Viales y Afines de la República Argentina</t>
  </si>
  <si>
    <t xml:space="preserve">trabajadores viales (Dirección Nacional de Vialidad y afines)</t>
  </si>
  <si>
    <t xml:space="preserve">nacional (con distritos/seccionales por provincia)</t>
  </si>
  <si>
    <t xml:space="preserve">https://www.sindicatoviales.org.ar/</t>
  </si>
  <si>
    <t xml:space="preserve">no detectado (sin app, sin portal con login, sin credencial digital; la afiliación es por formulario papel enviado por correo postal)</t>
  </si>
  <si>
    <t xml:space="preserve">no detectado (la obra social OSTV tiene sitio propio ostv.com.ar; no se relevó por ser prestación médica)</t>
  </si>
  <si>
    <t xml:space="preserve">Sitio institucional básico (WordPress) con casi nula autogestión: la afiliación se hace en papel por correo postal, los beneficios se listan solo por título y los subsidios se anuncian como notas. Lo distintivo es la capacitación técnica certificable en maquinaria vial pesada distribuida por distritos (idea para un módulo de cursos con inscripción/cupos por seccional), el esquema de subsidios con montos actualizados periódicamente (candidato a tabla de subsidios vigentes en la app), el sorteo mensual y el certamen fotográfico como mecanismos de fidelización. Turismo se gestiona por Instagram + Gmail, señal de que falta canal formal.</t>
  </si>
  <si>
    <t xml:space="preserve">https://www.sindicatoviales.org.ar/
https://www.sindicatoviales.org.ar/beneficios/
https://www.sindicatoviales.org.ar/subsidios/
https://www.sindicatoviales.org.ar/afiliese/
https://www.sindicatoviales.org.ar/capacitacion/</t>
  </si>
  <si>
    <t xml:space="preserve">UOM</t>
  </si>
  <si>
    <t xml:space="preserve">Unión Obrera Metalúrgica de la República Argentina</t>
  </si>
  <si>
    <t xml:space="preserve">industria metalúrgica (CCT 260/75)</t>
  </si>
  <si>
    <t xml:space="preserve">nacional (Secretariado Nacional)</t>
  </si>
  <si>
    <t xml:space="preserve">https://uom.org.ar/</t>
  </si>
  <si>
    <t xml:space="preserve">No detectado para afiliados. Existe 'UOM | Boletas' (uomboletas.com.ar, app React) que por contexto es un sistema de generación de boletas de aportes para empresas; no se pudo confirmar funcionalidad ni login. Sin app móvil, credencial digital, calculadora ni afiliación online.</t>
  </si>
  <si>
    <t xml:space="preserve">Red de Centros de Formación (reddecentros.uom.org.ar) para capacitación; convenio UOMRA-AOTRA para hotelería. No se detecta mutual propia en la web nacional.</t>
  </si>
  <si>
    <t xml:space="preserve">Sitio nacional pobre: WordPress con navegación por ?page_id, sin sección de afiliados, sin afiliación online, sin app ni portal. El único contenido con valor operativo son las escalas por rama (el metalúrgico las necesita porque el CCT tiene ramas y categorías complejas: buena oportunidad para un buscador/calculadora de escala por rama y categoría). Todo lo demás (turismo, reclamos, afiliación) se deriva a la seccional. Lo destacable en beneficios es la red de hotelería propia (4 hoteles) más convenios AOTRA y campings, pero sin reserva online. El sistema 'Boletas UOM' sugiere que la digitalización se priorizó del lado empresa (aportes) antes que del afiliado.</t>
  </si>
  <si>
    <t xml:space="preserve">https://www.uom.org.ar/
https://uom.org.ar/?page_id=2367
https://uom.org.ar/?cat=15
https://uom.org.ar/?page_id=325
https://www.uomboletas.com.ar/</t>
  </si>
  <si>
    <t xml:space="preserve">UTA</t>
  </si>
  <si>
    <t xml:space="preserve">Unión Tranviarios Automotor</t>
  </si>
  <si>
    <t xml:space="preserve">transporte automotor de pasajeros (choferes de colectivos y transporte urbano/larga distancia)</t>
  </si>
  <si>
    <t xml:space="preserve">nacional (sitio institucional con foco en CABA/AMBA; el dominio uta.org.ar no respondió y el sitio activo es utaargentina.com)</t>
  </si>
  <si>
    <t xml:space="preserve">https://www.utaargentina.com/</t>
  </si>
  <si>
    <t xml:space="preserve">El sindicato no tiene app ni portal de autogestión. La Mutual UTA (entidad vinculada) sí tiene un portal de socios con 'Credencial Online' en http://servicios.mutualuta.com.ar/Socio/Credencial y ofrece 'Bonos Virtuales' y Médico/Psicología online.</t>
  </si>
  <si>
    <t xml:space="preserve">Mutual UTA (mutualuta.com.ar): préstamos con retención de haberes, bonos virtuales, subsidios, sepelios, becas escolares, descuentos en comercios y en pasajes de larga distancia, asesoramiento legal, credencial online; además servicios de salud (odontología, medicamentos, médico online, enfermería) que se excluyen por ser prestaciones tipo obra social.</t>
  </si>
  <si>
    <t xml:space="preserve">El sitio del sindicato es básicamente institucional: turismo con tarifas publicadas pero reserva solo telefónica/presencial, y afiliación que arranca en un formulario web genérico y termina en la sede. Lo digital está tercerizado en la Mutual UTA: credencial online, bonos virtuales, préstamos por WhatsApp, médico y psicología online. Ideas rescatables: acceso gratuito a predios recreativos con solo mostrar la credencial (candidato obvio a credencial digital con QR), beneficio de luna de miel ligado a antigüedad sindical (regla automatizable), y mutual como capa de servicios financieros/descuentos separada del gremio. Muchas líneas telefónicas distintas por servicio: un caso claro para unificar en un chatbot/app.</t>
  </si>
  <si>
    <t xml:space="preserve">https://www.utaargentina.com/servicios/
https://www.utaargentina.com/turismo/
https://www.utaargentina.com/afiliate-a-uta/
https://www.mutualuta.com.ar/site/</t>
  </si>
  <si>
    <t xml:space="preserve">Servicio</t>
  </si>
  <si>
    <t xml:space="preserve">Modalidad</t>
  </si>
  <si>
    <t xml:space="preserve">Categoría</t>
  </si>
  <si>
    <t xml:space="preserve">Descripción</t>
  </si>
  <si>
    <t xml:space="preserve">URL fuente</t>
  </si>
  <si>
    <t xml:space="preserve">Propuestas Colm3na</t>
  </si>
  <si>
    <t xml:space="preserve">Cobertura Colm3na</t>
  </si>
  <si>
    <t xml:space="preserve">Cómo lo cubre</t>
  </si>
  <si>
    <t xml:space="preserve">ADEF-1</t>
  </si>
  <si>
    <t xml:space="preserve">Simulador de liquidación de haberes</t>
  </si>
  <si>
    <t xml:space="preserve">online</t>
  </si>
  <si>
    <t xml:space="preserve">tramites</t>
  </si>
  <si>
    <t xml:space="preserve">Calculadora web (app.adef.org.ar/simulador) donde el empleado de farmacia estima su recibo de sueldo según la escala vigente del CCT. Vinculado desde la sección de escalas salariales. Abierto sin login (no se pudo verificar el detalle de campos porque la app carga por JS).</t>
  </si>
  <si>
    <t xml:space="preserve">https://www.adef.org.ar/simulador</t>
  </si>
  <si>
    <t xml:space="preserve">P14, P16</t>
  </si>
  <si>
    <t xml:space="preserve">Corto plazo</t>
  </si>
  <si>
    <t xml:space="preserve">Simulador de haberes (P14).</t>
  </si>
  <si>
    <t xml:space="preserve">ADEF-2</t>
  </si>
  <si>
    <t xml:space="preserve">Simulador de vacaciones</t>
  </si>
  <si>
    <t xml:space="preserve">Segunda calculadora web (app.adef.org.ar/simulador/holiday) que liquida el plus vacacional / días de vacaciones que corresponden al trabajador. Herramienta abierta desde el sitio.</t>
  </si>
  <si>
    <t xml:space="preserve">https://www.adef.org.ar/simulador-vacaciones</t>
  </si>
  <si>
    <t xml:space="preserve">Simulador de vacaciones (P14).</t>
  </si>
  <si>
    <t xml:space="preserve">ADEF-3</t>
  </si>
  <si>
    <t xml:space="preserve">Escalas salariales históricas 2003-2026</t>
  </si>
  <si>
    <t xml:space="preserve">Archivo completo de escalas salariales por año desde 2003 hasta la vigente (mayo 2026), publicadas como páginas web navegables, más sección de legislación laboral y normativas.</t>
  </si>
  <si>
    <t xml:space="preserve">https://www.adef.org.ar/escala-salarial</t>
  </si>
  <si>
    <t xml:space="preserve">Hoy</t>
  </si>
  <si>
    <t xml:space="preserve">Escalas históricas: Fórmulas con vigencia + Novedades.</t>
  </si>
  <si>
    <t xml:space="preserve">ADEF-4</t>
  </si>
  <si>
    <t xml:space="preserve">ADEF Responde (atención 24 hs)</t>
  </si>
  <si>
    <t xml:space="preserve">semi-online</t>
  </si>
  <si>
    <t xml:space="preserve">comunicacion</t>
  </si>
  <si>
    <t xml:space="preserve">Canal de consultas 24 horas vía 0800-345-0299, WhatsApp +54 9 11 2322-3662 y plataforma web app.adef.org.ar/responde. Orientado principalmente a consultas sobre la cartilla de prestadores de OSADEF, pero es el canal de atención unificado del sindicato. [Reclasificado a semi-online: atención por 0800/WhatsApp.]</t>
  </si>
  <si>
    <t xml:space="preserve">https://www.adef.org.ar/adef-responde</t>
  </si>
  <si>
    <t xml:space="preserve">Desarrollo mayor</t>
  </si>
  <si>
    <t xml:space="preserve">Canal 24 hs unificado: bot omnicanal (P17, ola 2).</t>
  </si>
  <si>
    <t xml:space="preserve">ADEF-5</t>
  </si>
  <si>
    <t xml:space="preserve">Sistema de Aportes en Línea (empleadores)</t>
  </si>
  <si>
    <t xml:space="preserve">Plataforma 24x7 donde las farmacias empleadoras cargan la planilla de retención de afiliados y generan boletas bancarias con código de barras (Banco Nación / Banco Provincia). Alta con CUIT y contraseña; incluye manual de usuario y soporte 9-17 hs por WhatsApp, teléfono y mail. Elimina el envío de documentación mensual.</t>
  </si>
  <si>
    <t xml:space="preserve">https://www.adef.org.ar/sistema-de-aportes-en-linea</t>
  </si>
  <si>
    <t xml:space="preserve">Aportes en línea: P15.</t>
  </si>
  <si>
    <t xml:space="preserve">ADEF-6</t>
  </si>
  <si>
    <t xml:space="preserve">Turismo social: complejos hoteleros propios</t>
  </si>
  <si>
    <t xml:space="preserve">recreacion</t>
  </si>
  <si>
    <t xml:space="preserve">Hoteles/complejos propios en Mar del Plata, Mendoza, Cosquín y otros, solo alojamiento, para afiliado y grupo familiar primario (otros familiares con tarifa diferenciada). Se consultan precios en la web, se reserva por mail o WhatsApp de la Secretaría de Turismo con número de afiliado, pasajeros, fechas y régimen; seña en 48 hs, saldo en cuotas por depósito bancario, y se recibe voucher por correo.</t>
  </si>
  <si>
    <t xml:space="preserve">https://www.adef.org.ar/turismo-social/preguntas-frecuentes</t>
  </si>
  <si>
    <t xml:space="preserve">Reserva con formularios encadenados (solicitud → confirmación de disponibilidad por el sindicato → registro), semi-automática hoy; automatizable con carga de recursos y vacantes (P20, bajo esfuerzo).</t>
  </si>
  <si>
    <t xml:space="preserve">ADEF-7</t>
  </si>
  <si>
    <t xml:space="preserve">Miniturismo (paquetes con traslado y excursiones)</t>
  </si>
  <si>
    <t xml:space="preserve">Paquetes cortos que incluyen traslados + hotelería + excursiones, publicados por temporada (precios de invierno desde mediados de abril; verano desde fin de octubre). Mismo circuito de reserva por mail/WhatsApp con 15-30 días de anticipación.</t>
  </si>
  <si>
    <t xml:space="preserve">https://www.adef.org.ar/turismo-social/miniturismo</t>
  </si>
  <si>
    <t xml:space="preserve">ADEF-8</t>
  </si>
  <si>
    <t xml:space="preserve">Campos recreativos</t>
  </si>
  <si>
    <t xml:space="preserve">presencial</t>
  </si>
  <si>
    <t xml:space="preserve">Predios recreativos 'Eva Perón' y 'Jorge Di Pascuale' abiertos todo el año y otros abiertos del 15/12 al 15/3, para afiliados y familia. Acceso presentando credencial.</t>
  </si>
  <si>
    <t xml:space="preserve">https://www.adef.org.ar/turismo-social/campos-recreativos</t>
  </si>
  <si>
    <t xml:space="preserve">Campos recreativos con credencial: acceso hoy; registro en P19.</t>
  </si>
  <si>
    <t xml:space="preserve">ADEF-9</t>
  </si>
  <si>
    <t xml:space="preserve">Salón de fiestas 'Don Alfredo'</t>
  </si>
  <si>
    <t xml:space="preserve">Salón de fiestas propio del sindicato para eventos de afiliados; se consulta disponibilidad por contacto.</t>
  </si>
  <si>
    <t xml:space="preserve">https://www.adef.org.ar/salon-de-fiestas/</t>
  </si>
  <si>
    <t xml:space="preserve">ADEF-10</t>
  </si>
  <si>
    <t xml:space="preserve">Plan de Viviendas 'Parque Los Nogales'</t>
  </si>
  <si>
    <t xml:space="preserve">beneficios</t>
  </si>
  <si>
    <t xml:space="preserve">Barrio de 180 viviendas unifamiliares (2-3 dormitorios, lotes de 250 m2) en Tristán Suárez, Ezeiza, surgido de un censo habitacional de afiliados. La web describe el proyecto pero no el proceso de inscripción; consultas por 0800/WhatsApp.</t>
  </si>
  <si>
    <t xml:space="preserve">https://www.adef.org.ar/institucional/plan-viviendas</t>
  </si>
  <si>
    <t xml:space="preserve">No aplica</t>
  </si>
  <si>
    <t xml:space="preserve">Infraestructura física o programa de vivienda: fuera del alcance de la plataforma (se puede difundir como Novedad).</t>
  </si>
  <si>
    <t xml:space="preserve">ADEF-11</t>
  </si>
  <si>
    <t xml:space="preserve">Centro de Formación Profesional N°26 (auxiliar de farmacia)</t>
  </si>
  <si>
    <t xml:space="preserve">formacion</t>
  </si>
  <si>
    <t xml:space="preserve">Centro de formación propio (centro26.com.ar) con cursos de Auxiliar de Farmacia, Farmacología, Farmacotecnia y Cosmética, más Laboratorio Escuela 'Jorge Di Pascuale'; entrega de diplomas anual. Inscripción a través del centro.</t>
  </si>
  <si>
    <t xml:space="preserve">https://www.centro26.com.ar/</t>
  </si>
  <si>
    <t xml:space="preserve">P21, P22</t>
  </si>
  <si>
    <t xml:space="preserve">Centro de formación: Capacitación (P22).</t>
  </si>
  <si>
    <t xml:space="preserve">ADEF-12</t>
  </si>
  <si>
    <t xml:space="preserve">Licenciatura en Farmacia y Centro de Idiomas (UMET)</t>
  </si>
  <si>
    <t xml:space="preserve">Convenio con la UMET para que afiliados cursen la Licenciatura en Farmacia y accedan a un Centro de Idiomas; la inscripción se hace en la universidad.</t>
  </si>
  <si>
    <t xml:space="preserve">https://www.adef.org.ar/novedades/2335-tu-futuro-empieza-hoy</t>
  </si>
  <si>
    <t xml:space="preserve">P09, P26</t>
  </si>
  <si>
    <t xml:space="preserve">Licenciatura UMET: constancia (P09).</t>
  </si>
  <si>
    <t xml:space="preserve">ADEF-13</t>
  </si>
  <si>
    <t xml:space="preserve">Videos de capacitación y publicaciones técnicas</t>
  </si>
  <si>
    <t xml:space="preserve">no-afiliados</t>
  </si>
  <si>
    <t xml:space="preserve">Biblioteca online de videos de capacitación y manuales (Farmacología, Farmacotecnia, Cosmética) descargables desde la web, abiertos a cualquier trabajador del sector.</t>
  </si>
  <si>
    <t xml:space="preserve">https://www.adef.org.ar/capacitacion/videos-de-capacitacion</t>
  </si>
  <si>
    <t xml:space="preserve">Biblioteca abierta de videos y manuales (P18, ola 1).</t>
  </si>
  <si>
    <t xml:space="preserve">ADEF-14</t>
  </si>
  <si>
    <t xml:space="preserve">FarmaTrivia (gamificación de capacitación)</t>
  </si>
  <si>
    <t xml:space="preserve">Plataforma web (farmatrivia.ar) con registro de usuario donde empleados de farmacia responden trivias mensuales sobre productos/laboratorios y ganan premios; tiene secciones 'Premios' y 'Ganadores'. Exclusiva para empleados de farmacias.</t>
  </si>
  <si>
    <t xml:space="preserve">https://farmatrivia.ar/</t>
  </si>
  <si>
    <t xml:space="preserve">Trivia con premios (P31, ola 2).</t>
  </si>
  <si>
    <t xml:space="preserve">ADEF-15</t>
  </si>
  <si>
    <t xml:space="preserve">Tienda online de la Mutual AMDEF</t>
  </si>
  <si>
    <t xml:space="preserve">E-commerce de la mutual con útiles escolares, alimentos y artículos de limpieza para asociados, con cuenta de usuario y carrito; consultas por WhatsApp. No se detallan créditos ni subsidios en la web.</t>
  </si>
  <si>
    <t xml:space="preserve">https://mutual.adef.org.ar/</t>
  </si>
  <si>
    <t xml:space="preserve">P24, P34</t>
  </si>
  <si>
    <t xml:space="preserve">Tienda de la mutual (P24/P34).</t>
  </si>
  <si>
    <t xml:space="preserve">ADEF-16</t>
  </si>
  <si>
    <t xml:space="preserve">Descuento SportClub</t>
  </si>
  <si>
    <t xml:space="preserve">Convenio de descuento en la cadena de gimnasios SportClub para afiliados, publicado como novedad.</t>
  </si>
  <si>
    <t xml:space="preserve">https://www.adef.org.ar/novedades/537-beneficios-sportclub</t>
  </si>
  <si>
    <t xml:space="preserve">SportClub: Beneficios.</t>
  </si>
  <si>
    <t xml:space="preserve">ADEF-17</t>
  </si>
  <si>
    <t xml:space="preserve">Publicaciones, podcast y revista</t>
  </si>
  <si>
    <t xml:space="preserve">Sección de publicaciones con libros, revistas, podcast, anuario 2024/2025 y canales de YouTube/Vimeo con programas propios; comunicación institucional y cultural.</t>
  </si>
  <si>
    <t xml:space="preserve">https://www.adef.org.ar/publicaciones/historia/</t>
  </si>
  <si>
    <t xml:space="preserve">Publicaciones y podcast: contenido editorial (enlace desde Novedades).</t>
  </si>
  <si>
    <t xml:space="preserve">ADEF-18</t>
  </si>
  <si>
    <t xml:space="preserve">Delegados comunales y de PBA (mapa)</t>
  </si>
  <si>
    <t xml:space="preserve">Listado de delegados por comuna de CABA y por zona de provincia de Buenos Aires para que el trabajador ubique a su referente gremial.</t>
  </si>
  <si>
    <t xml:space="preserve">https://www.adef.org.ar/institucional/delegados-comunales</t>
  </si>
  <si>
    <t xml:space="preserve">P11, P28</t>
  </si>
  <si>
    <t xml:space="preserve">Directorio de delegados (P11, ola 2).</t>
  </si>
  <si>
    <t xml:space="preserve">CAMIONEROS-1</t>
  </si>
  <si>
    <t xml:space="preserve">Sede Digital - autogestión del afiliado</t>
  </si>
  <si>
    <t xml:space="preserve">Portal web donde el afiliado crea usuario con CUIL y clave y gestiona trámites online (confirmado: solicitud del beneficio por nacimiento para CABA/GBA). La web no lista el catálogo completo de trámites disponibles tras el login.</t>
  </si>
  <si>
    <t xml:space="preserve">https://sededigital.camioneros-ba.org.ar/</t>
  </si>
  <si>
    <t xml:space="preserve">Portal de autogestión: app del trabajador.</t>
  </si>
  <si>
    <t xml:space="preserve">CAMIONEROS-2</t>
  </si>
  <si>
    <t xml:space="preserve">App CamionerosBA</t>
  </si>
  <si>
    <t xml:space="preserve">Aplicación móvil oficial en Google Play y App Store con información del sindicato para el afiliado. La nota de lanzamiento no detalla funciones (credencial, turnos, escalas); consultas a Secretaría de Comunicación 4378-1412.</t>
  </si>
  <si>
    <t xml:space="preserve">http://camioneros-ba.org.ar/index.php/sindicato/novedades/537-nueva-app-camionerosba</t>
  </si>
  <si>
    <t xml:space="preserve">App: app del trabajador (PWA).</t>
  </si>
  <si>
    <t xml:space="preserve">CAMIONEROS-3</t>
  </si>
  <si>
    <t xml:space="preserve">Beneficio por nacimiento</t>
  </si>
  <si>
    <t xml:space="preserve">Ayuda económica única para afiliados que fueron padres/madres, con mínimo 6 meses de aportes y solicitud dentro de los 3 meses del nacimiento. Documentación: credencial de obra social, último recibo, DNI del bebé y partida. Se tramita online en Sede Digital (CABA/GBA), en sede central/delegación, o vía seccional en provincia.</t>
  </si>
  <si>
    <t xml:space="preserve">https://www.camioneros-ba.org.ar/index.php/nacimientos</t>
  </si>
  <si>
    <t xml:space="preserve">Subsidio por nacimiento online (P01, ola 1).</t>
  </si>
  <si>
    <t xml:space="preserve">CAMIONEROS-4</t>
  </si>
  <si>
    <t xml:space="preserve">Becas universitarias y becas de Enfermería</t>
  </si>
  <si>
    <t xml:space="preserve">Becas para hijos de afiliados que cursan estudios universitarios, y programa específico de becas de Enfermería Profesional. Se solicitan online, en sede central o delegación.</t>
  </si>
  <si>
    <t xml:space="preserve">https://www.camioneros-ba.org.ar/index.php/2013-03-01-07-42-21</t>
  </si>
  <si>
    <t xml:space="preserve">Becas como campaña con cupo (P04).</t>
  </si>
  <si>
    <t xml:space="preserve">CAMIONEROS-5</t>
  </si>
  <si>
    <t xml:space="preserve">Guardapolvos y útiles escolares + consulta online</t>
  </si>
  <si>
    <t xml:space="preserve">Entrega anual de kit de útiles y guardapolvos para hijos de afiliados (el contenido más visitado del sitio, ~30.000 visitas). Existe una 'Consulta de útiles' en Servicios en Línea para que el afiliado verifique su solicitud/entrega (la URL exacta devolvió 404 al momento del relevamiento).</t>
  </si>
  <si>
    <t xml:space="preserve">https://www.camioneros-ba.org.ar/index.php/secretarias</t>
  </si>
  <si>
    <t xml:space="preserve">Campaña de útiles con consulta de estado (P04, ola 1).</t>
  </si>
  <si>
    <t xml:space="preserve">CAMIONEROS-6</t>
  </si>
  <si>
    <t xml:space="preserve">Subsidio por fallecimiento y sepelio</t>
  </si>
  <si>
    <t xml:space="preserve">Ayuda económica por fallecimiento del afiliado o familiar y servicio de sepelio gestionados por Acción Social. Trámite presencial en sede/delegación con documentación (Tel. 4378-1011).</t>
  </si>
  <si>
    <t xml:space="preserve">https://www.camioneros-ba.org.ar/index.php/2015-04-16-17-59-12/secretaria-de-accion-social</t>
  </si>
  <si>
    <t xml:space="preserve">Subsidio por fallecimiento (P01) y ficha de emergencias (P29).</t>
  </si>
  <si>
    <t xml:space="preserve">CAMIONEROS-7</t>
  </si>
  <si>
    <t xml:space="preserve">Alojamiento para estudiantes y para pacientes del interior</t>
  </si>
  <si>
    <t xml:space="preserve">Hospedaje en CABA para hijos de afiliados del interior bonaerense que estudian (requiere credencial vigente, certificado de alumno regular y recibo del titular) y para afiliados en tratamiento médico con autorización de su seccional.</t>
  </si>
  <si>
    <t xml:space="preserve">CAMIONEROS-8</t>
  </si>
  <si>
    <t xml:space="preserve">Área Discapacidad y ambulancias programadas</t>
  </si>
  <si>
    <t xml:space="preserve">Atención a afiliados con familiares con discapacidad (presupuesto y requisitos 2026 publicados; línea 4378-1003) y coordinación de ambulancias programadas. Parte se canaliza por obra social OSCHOCA.</t>
  </si>
  <si>
    <t xml:space="preserve">Área de discapacidad: consulta por trámite; la parte de ambulancias es de obra social.</t>
  </si>
  <si>
    <t xml:space="preserve">CAMIONEROS-9</t>
  </si>
  <si>
    <t xml:space="preserve">Escalas salariales online e histórico desde 1969</t>
  </si>
  <si>
    <t xml:space="preserve">Escala vigente (agosto 2026) consultable en la web, histórico de escalas desde 1969, acuerdos y homologaciones. FEDCAM publica planillas de sueldos desde 1978. Formato de lectura/descarga, sin calculadora.</t>
  </si>
  <si>
    <t xml:space="preserve">https://www.camioneros-ba.org.ar/index.php/gremiales/salarios/escalas-salariales</t>
  </si>
  <si>
    <t xml:space="preserve">Escalas e histórico en Novedades y Fórmulas; buscador en P14.</t>
  </si>
  <si>
    <t xml:space="preserve">CAMIONEROS-10</t>
  </si>
  <si>
    <t xml:space="preserve">Acuerdos por empresa (portal con login)</t>
  </si>
  <si>
    <t xml:space="preserve">Sistema con usuario y contraseña (convenios.camioneros.org.ar / acuerdos.spdps.com.ar) para consultar acuerdos salariales específicos de cada empresa. Público objetivo no explicitado (delegados/empresas).</t>
  </si>
  <si>
    <t xml:space="preserve">http://convenios.camioneros.org.ar/</t>
  </si>
  <si>
    <t xml:space="preserve">Acuerdos por empresa: Fórmulas por empleador + Novedades segmentadas.</t>
  </si>
  <si>
    <t xml:space="preserve">CAMIONEROS-11</t>
  </si>
  <si>
    <t xml:space="preserve">Planilla de kilometraje</t>
  </si>
  <si>
    <t xml:space="preserve">Planilla descargable para que el chofer registre kilómetros recorridos y calcule el adicional por km del CCT 40/89. Herramienta práctica para control del recibo.</t>
  </si>
  <si>
    <t xml:space="preserve">https://www.camioneros-ba.org.ar/index.php/gremiales/salarios/planilla-km</t>
  </si>
  <si>
    <t xml:space="preserve">P10, P14</t>
  </si>
  <si>
    <t xml:space="preserve">Registro de km como evidencia y cálculo del adicional (P10/P14).</t>
  </si>
  <si>
    <t xml:space="preserve">CAMIONEROS-12</t>
  </si>
  <si>
    <t xml:space="preserve">Asesoramiento salarial y por accidentes de trabajo</t>
  </si>
  <si>
    <t xml:space="preserve">legal-previsional</t>
  </si>
  <si>
    <t xml:space="preserve">Asesoramiento sobre liquidación de haberes y sobre accidentes/enfermedades laborales (Secretaría de Accidentes de Trabajo en FEDCAM). Contacto por ramas de actividad, teléfono o presencial.</t>
  </si>
  <si>
    <t xml:space="preserve">Asesoramiento salarial: validador de recibos + consulta por trámite; accidentes por trámite.</t>
  </si>
  <si>
    <t xml:space="preserve">CAMIONEROS-13</t>
  </si>
  <si>
    <t xml:space="preserve">Psicofísico (examen para licencia)</t>
  </si>
  <si>
    <t xml:space="preserve">Información y sistema de arancel/turno para el examen psicofísico requerido por la Licencia Nacional de Transporte Interjurisdiccional (LiNTI), con enlace al trámite en argentina.gob.ar y sistema psicofisico.impresiondeboletas.com.ar.</t>
  </si>
  <si>
    <t xml:space="preserve">https://www.camioneros-ba.org.ar/index.php/gremiales/otros/psicofisico</t>
  </si>
  <si>
    <t xml:space="preserve">Habilitantes con vencimiento y turno (P23/P12, ola 2).</t>
  </si>
  <si>
    <t xml:space="preserve">CAMIONEROS-14</t>
  </si>
  <si>
    <t xml:space="preserve">Atención ANSES (ULAT)</t>
  </si>
  <si>
    <t xml:space="preserve">Unidad de Atención ANSES dentro del sindicato para trámites previsionales (jubilación, asignaciones) de afiliados sin ir a una oficina de ANSES.</t>
  </si>
  <si>
    <t xml:space="preserve">P12, P13</t>
  </si>
  <si>
    <t xml:space="preserve">Turnos para servicios de terceros en sede (P12, ola 2).</t>
  </si>
  <si>
    <t xml:space="preserve">CAMIONEROS-15</t>
  </si>
  <si>
    <t xml:space="preserve">Hoteles, cabañas, campings y recreos</t>
  </si>
  <si>
    <t xml:space="preserve">4 hoteles/cabañas y 6 campings/recreos propios para afiliados y familias. Información en web; reserva por teléfono (Secretaría de Turismo 4378-1050) o formulario de contacto. Tarifas no publicadas.</t>
  </si>
  <si>
    <t xml:space="preserve">https://www.camioneros-ba.org.ar/index.php/turismo</t>
  </si>
  <si>
    <t xml:space="preserve">CAMIONEROS-16</t>
  </si>
  <si>
    <t xml:space="preserve">Viaje de bodas</t>
  </si>
  <si>
    <t xml:space="preserve">Programa de viaje de luna de miel para afiliados recién casados gestionado por Turismo. Solicitud con acta de matrimonio, presencial/telefónica.</t>
  </si>
  <si>
    <t xml:space="preserve">Viaje de bodas: voucher (P02).</t>
  </si>
  <si>
    <t xml:space="preserve">CAMIONEROS-17</t>
  </si>
  <si>
    <t xml:space="preserve">Camioneritos (colonia/recreación infantil)</t>
  </si>
  <si>
    <t xml:space="preserve">Programa recreativo para hijos de afiliados (colonia de vacaciones/actividades) dentro de la sección Turismo. Inscripción presencial.</t>
  </si>
  <si>
    <t xml:space="preserve">Camioneritos: inscripción (P04).</t>
  </si>
  <si>
    <t xml:space="preserve">CAMIONEROS-18</t>
  </si>
  <si>
    <t xml:space="preserve">Club Camioneros y deportes</t>
  </si>
  <si>
    <t xml:space="preserve">Club deportivo del sindicato y Secretaría de Deportes con torneos y actividades para afiliados y familias.</t>
  </si>
  <si>
    <t xml:space="preserve">Club y deportes: inscripciones (P04).</t>
  </si>
  <si>
    <t xml:space="preserve">CAMIONEROS-19</t>
  </si>
  <si>
    <t xml:space="preserve">Vivienda</t>
  </si>
  <si>
    <t xml:space="preserve">Secretaría de Vivienda (sindicato y federación) con programas de acceso a la vivienda para afiliados; sin detalle de mecanismo en web.</t>
  </si>
  <si>
    <t xml:space="preserve">https://www.camioneros-ba.org.ar/index.php/2015-04-16-17-59-12/secretaria-de-la-vivienda</t>
  </si>
  <si>
    <t xml:space="preserve">Vivienda.</t>
  </si>
  <si>
    <t xml:space="preserve">CAMIONEROS-20</t>
  </si>
  <si>
    <t xml:space="preserve">Prevención de adicciones y campañas de seguridad vial/fatiga</t>
  </si>
  <si>
    <t xml:space="preserve">otro</t>
  </si>
  <si>
    <t xml:space="preserve">Programas de prevención (adicciones, fatiga al volante, seguridad vial) con materiales y galerías de prevención; enfoque en la salud ocupacional del chofer.</t>
  </si>
  <si>
    <t xml:space="preserve">https://www.fedcam.org.ar/</t>
  </si>
  <si>
    <t xml:space="preserve">Campañas de prevención: Novedades segmentadas y encuestas (P30).</t>
  </si>
  <si>
    <t xml:space="preserve">CAMIONEROS-21</t>
  </si>
  <si>
    <t xml:space="preserve">Formación política-sindical y Biblioteca Sindical</t>
  </si>
  <si>
    <t xml:space="preserve">Secretaría de Formación con cursos para delegados y afiliados; FEDCAM mantiene una biblioteca sindical digital y revista 'Los Camioneros'.</t>
  </si>
  <si>
    <t xml:space="preserve">https://www.fedcam.org.ar/index.php/nuestra-federacion/publicaciones/biblioteca-sindical</t>
  </si>
  <si>
    <t xml:space="preserve">Formación sindical y biblioteca: P22; biblioteca en P18 (corto).</t>
  </si>
  <si>
    <t xml:space="preserve">CAMIONEROS-22</t>
  </si>
  <si>
    <t xml:space="preserve">Libre deuda y conflicto (empresas)</t>
  </si>
  <si>
    <t xml:space="preserve">Consulta online de certificado de libre deuda sindical y de conflicto para empresas de transporte; junto con inscripción/reempadronamiento, contribución solidaria, impresión de boletas y pago de aportes por CBU forman el módulo de autogestión de empleadores.</t>
  </si>
  <si>
    <t xml:space="preserve">https://www.camioneros-ba.org.ar/index.php/gremiales/otros/libre-deuda</t>
  </si>
  <si>
    <t xml:space="preserve">Libre deuda y autogestión de empleadores: P15.</t>
  </si>
  <si>
    <t xml:space="preserve">SETIA-1</t>
  </si>
  <si>
    <t xml:space="preserve">Credencial digital móvil</t>
  </si>
  <si>
    <t xml:space="preserve">Credencial digital del afiliado accesible desde una web app móvil (setiaonline/mobile) enlazada desde SETIA Online, que reemplaza el carnet físico para identificarse en hoteles, sede y beneficios. El detalle del alta de usuario no está publicado.</t>
  </si>
  <si>
    <t xml:space="preserve">https://setia.org.ar/?page_id=25</t>
  </si>
  <si>
    <t xml:space="preserve">Credencial digital con QR.</t>
  </si>
  <si>
    <t xml:space="preserve">SETIA-2</t>
  </si>
  <si>
    <t xml:space="preserve">App móvil 'Setia App'</t>
  </si>
  <si>
    <t xml:space="preserve">Aplicación propia promocionada en la home ('Bajate la App de Setia') publicada como web app en app.setia.ar. La landing no expone funciones sin JavaScript; por contexto integra credencial, novedades y beneficios (no verificado).</t>
  </si>
  <si>
    <t xml:space="preserve">https://app.setia.ar/#/landing</t>
  </si>
  <si>
    <t xml:space="preserve">App propia: app del trabajador.</t>
  </si>
  <si>
    <t xml:space="preserve">SETIA-3</t>
  </si>
  <si>
    <t xml:space="preserve">Portal de reservas de turismo online</t>
  </si>
  <si>
    <t xml:space="preserve">Web app turismo.setia.ar para reservar en los hoteles propios (San Clemente, Bariloche, Mar del Plata, Córdoba) y el camping de Ezeiza, con tarifario. También se puede reservar por teléfono en cada hotel o con el formulario '06 – Solicitud Turismo' descargable. Dirigido a afiliados y familia.</t>
  </si>
  <si>
    <t xml:space="preserve">https://setia.org.ar/?page_id=34</t>
  </si>
  <si>
    <t xml:space="preserve">SETIA-4</t>
  </si>
  <si>
    <t xml:space="preserve">Asesoría Virtual (consultas gremiales online)</t>
  </si>
  <si>
    <t xml:space="preserve">Formulario web donde el afiliado ingresa nombre, N° de afiliado, DNI, mail y su consulta (con captcha), que se deriva al área correspondiente. Antes se lo invita a revisar la sección de Preguntas Frecuentes. Es el canal digital de consulta laboral/gremial.</t>
  </si>
  <si>
    <t xml:space="preserve">https://setia.org.ar/?page_id=13</t>
  </si>
  <si>
    <t xml:space="preserve">P10, P17</t>
  </si>
  <si>
    <t xml:space="preserve">Asesoría virtual con nro. de afiliado: trámites/consultas.</t>
  </si>
  <si>
    <t xml:space="preserve">SETIA-5</t>
  </si>
  <si>
    <t xml:space="preserve">Preguntas frecuentes de afiliados</t>
  </si>
  <si>
    <t xml:space="preserve">Sección de FAQ orientada a resolver dudas comunes (afiliación, aportes, beneficios) antes de usar la asesoría virtual.</t>
  </si>
  <si>
    <t xml:space="preserve">https://setia.org.ar/?page_id=23</t>
  </si>
  <si>
    <t xml:space="preserve">P17, P18</t>
  </si>
  <si>
    <t xml:space="preserve">FAQ (P18, ola 1).</t>
  </si>
  <si>
    <t xml:space="preserve">SETIA-6</t>
  </si>
  <si>
    <t xml:space="preserve">Asesoramiento gremial y legal laboral presencial</t>
  </si>
  <si>
    <t xml:space="preserve">Representación en negociaciones y conflictos bajo el CCT y asesoría personalizada sobre el aspecto laboral en las dependencias del sindicato/seccionales.</t>
  </si>
  <si>
    <t xml:space="preserve">https://setia.org.ar/?cat=4</t>
  </si>
  <si>
    <t xml:space="preserve">Asesoría presencial: consulta por trámite; turnos en P12.</t>
  </si>
  <si>
    <t xml:space="preserve">SETIA-7</t>
  </si>
  <si>
    <t xml:space="preserve">Afiliación con formulario descargable</t>
  </si>
  <si>
    <t xml:space="preserve">Formulario PDF '02 – Sindicato y Obra Social' (afiliación conjunta) y '05 – Cuota Sindical' que se descargan, completan y presentan en la seccional más cercana. No hay alta online.</t>
  </si>
  <si>
    <t xml:space="preserve">https://setia.org.ar/?page_id=15</t>
  </si>
  <si>
    <t xml:space="preserve">Afiliación online (P08).</t>
  </si>
  <si>
    <t xml:space="preserve">SETIA-8</t>
  </si>
  <si>
    <t xml:space="preserve">Trámites para empresas: empadronamiento, planilla de aportes y boletas online</t>
  </si>
  <si>
    <t xml:space="preserve">Formularios de empadronamiento de empresas y planilla de aportes/contribuciones, más 'Boletas Sindicales Online' dentro de SETIA Online para que los empleadores generen y paguen boletas de cuota sindical. Servicio a empresas, no a afiliados.</t>
  </si>
  <si>
    <t xml:space="preserve">Boletas online para empresas: P15.</t>
  </si>
  <si>
    <t xml:space="preserve">SETIA-9</t>
  </si>
  <si>
    <t xml:space="preserve">Solicitud y verificación de inspectores</t>
  </si>
  <si>
    <t xml:space="preserve">Listado público de 18 inspectores habilitados (con mail y teléfono) para que las empresas verifiquen la identidad de quien las inspecciona, más formulario web (razón social, CUIT, mail, teléfono, responsable) para solicitar inspección/auditoría/determinación de deuda vía 'Servicios de Gestión Técnica Integral'. Función de transparencia y anti-fraude.</t>
  </si>
  <si>
    <t xml:space="preserve">https://setia.org.ar/?page_id=29</t>
  </si>
  <si>
    <t xml:space="preserve">Verificación de inspectores y solicitud de inspección (P15).</t>
  </si>
  <si>
    <t xml:space="preserve">SETIA-10</t>
  </si>
  <si>
    <t xml:space="preserve">Subsidio por nacimiento</t>
  </si>
  <si>
    <t xml:space="preserve">Asignación económica del sindicato al nacer un hijo de afiliado; se gestiona en seccional con la documentación del nacimiento.</t>
  </si>
  <si>
    <t xml:space="preserve">Subsidio por nacimiento (P01).</t>
  </si>
  <si>
    <t xml:space="preserve">SETIA-11</t>
  </si>
  <si>
    <t xml:space="preserve">Luna de miel y Bodas de Oro en hotelería propia</t>
  </si>
  <si>
    <t xml:space="preserve">Siete días de hospedaje sin cargo con desayuno en hoteles propios para afiliados recién casados y para parejas que cumplen 50 años de matrimonio.</t>
  </si>
  <si>
    <t xml:space="preserve">Luna de miel y bodas de oro: voucher (P02).</t>
  </si>
  <si>
    <t xml:space="preserve">SETIA-12</t>
  </si>
  <si>
    <t xml:space="preserve">Útiles escolares</t>
  </si>
  <si>
    <t xml:space="preserve">Entrega anual de útiles escolares para hijos de afiliados desde preescolar hasta secundario.</t>
  </si>
  <si>
    <t xml:space="preserve">Útiles: campaña (P04).</t>
  </si>
  <si>
    <t xml:space="preserve">SETIA-13</t>
  </si>
  <si>
    <t xml:space="preserve">Caja de Navidad</t>
  </si>
  <si>
    <t xml:space="preserve">Caja navideña con productos de marcas reconocidas entregada a los afiliados en las fiestas.</t>
  </si>
  <si>
    <t xml:space="preserve">P02, P04</t>
  </si>
  <si>
    <t xml:space="preserve">Caja de Navidad: campaña con retiro (P04).</t>
  </si>
  <si>
    <t xml:space="preserve">SETIA-14</t>
  </si>
  <si>
    <t xml:space="preserve">Día del Textil</t>
  </si>
  <si>
    <t xml:space="preserve">Evento anual con torneos deportivos, espectáculos musicales y sorteos de autos y motos entre afiliados.</t>
  </si>
  <si>
    <t xml:space="preserve">P04, P31</t>
  </si>
  <si>
    <t xml:space="preserve">Día del Textil: inscripciones (P04); sorteo en P31.</t>
  </si>
  <si>
    <t xml:space="preserve">SETIA-15</t>
  </si>
  <si>
    <t xml:space="preserve">Capacitación</t>
  </si>
  <si>
    <t xml:space="preserve">Sección de capacitación con programas de formación para afiliados (categoría de noticias/cursos); el formulario de contacto tiene una opción específica 'Capacitación'.</t>
  </si>
  <si>
    <t xml:space="preserve">https://setia.org.ar/?cat=5</t>
  </si>
  <si>
    <t xml:space="preserve">Capacitación (P22).</t>
  </si>
  <si>
    <t xml:space="preserve">SETIA-16</t>
  </si>
  <si>
    <t xml:space="preserve">Formulario de contacto segmentado por área</t>
  </si>
  <si>
    <t xml:space="preserve">Formulario web con selector de destinatario (informes, gremiales, capacitación, turismo, recursos humanos), que enruta la consulta al área correspondiente.</t>
  </si>
  <si>
    <t xml:space="preserve">Formulario segmentado por área: trámites enrutados por área.</t>
  </si>
  <si>
    <t xml:space="preserve">SGBATOS-1</t>
  </si>
  <si>
    <t xml:space="preserve">App móvil con credencial digital</t>
  </si>
  <si>
    <t xml:space="preserve">App para afiliados y su grupo familiar que emite la credencial electrónica del sindicato y de la obra social OSOSS, válida como identificación. El afiliado se registra con DNI y mail; el sistema valida contra el padrón y habilita las funciones según sea afiliado sindical y/o beneficiario de OSOSS.</t>
  </si>
  <si>
    <t xml:space="preserve">https://sgbatos.org.ar/app/</t>
  </si>
  <si>
    <t xml:space="preserve">P05, P19</t>
  </si>
  <si>
    <t xml:space="preserve">Credencial digital; credencial familiar y de obra social en P19/P05.</t>
  </si>
  <si>
    <t xml:space="preserve">SGBATOS-2</t>
  </si>
  <si>
    <t xml:space="preserve">Consultas a Secretarías desde la app</t>
  </si>
  <si>
    <t xml:space="preserve">Desde la app el afiliado envía consultas dirigidas a las distintas Secretarías del sindicato (gremial, acción social, etc.) y consultas a la obra social. Funciona como canal de mensajería/ticket interno; la web no detalla tiempos de respuesta ni seguimiento.</t>
  </si>
  <si>
    <t xml:space="preserve">P11, P17</t>
  </si>
  <si>
    <t xml:space="preserve">Consultas a áreas por trámite con conversación.</t>
  </si>
  <si>
    <t xml:space="preserve">SGBATOS-3</t>
  </si>
  <si>
    <t xml:space="preserve">Botón SOS y modo Guardián (emergencias)</t>
  </si>
  <si>
    <t xml:space="preserve">La app incluye un botón SOS que dispara una alerta con ubicación GPS a una sala de monitoreo para urgencias médicas o de seguridad, y un modo 'Guardián' que programa una alerta temporizada que el usuario debe desactivar cuando pasó el riesgo; si no la desactiva, los operadores llaman a los contactos de emergencia cargados y pueden despachar servicios de emergencia. Requiere GPS y conexión.</t>
  </si>
  <si>
    <t xml:space="preserve">Botón SOS y modo "llegué bien" sobre la georreferenciación existente (P29, ola 1).</t>
  </si>
  <si>
    <t xml:space="preserve">SGBATOS-4</t>
  </si>
  <si>
    <t xml:space="preserve">Noticias, comunicados y beneficios en la app</t>
  </si>
  <si>
    <t xml:space="preserve">La app distribuye noticias y comunicados del sindicato y de OSOSS, e información sobre turismo, campeonatos de fútbol y beneficios vigentes. Complementa la web, la revista institucional y el canal de YouTube.</t>
  </si>
  <si>
    <t xml:space="preserve">Noticias y beneficios en la app: Novedades y Beneficios.</t>
  </si>
  <si>
    <t xml:space="preserve">SGBATOS-5</t>
  </si>
  <si>
    <t xml:space="preserve">Hoteles 15 de Mayo (Mar del Plata y Villa Carlos Paz)</t>
  </si>
  <si>
    <t xml:space="preserve">Hoteles propios con pileta climatizada, spa, gimnasio, cochera y desayuno buffet, disponibles todo el año para afiliados y familia. La web no explica el proceso de reserva (no hay portal de reservas online detectado); se accede vía la sección Turismo y contacto con el sindicato.</t>
  </si>
  <si>
    <t xml:space="preserve">https://sgbatos.org.ar/hoteles-turisticos/</t>
  </si>
  <si>
    <t xml:space="preserve">SGBATOS-6</t>
  </si>
  <si>
    <t xml:space="preserve">Turismo: convenios de transporte y hotel spa</t>
  </si>
  <si>
    <t xml:space="preserve">Descuentos en pasajes terrestres con las empresas Pulqui y Ruta Atlántica y convenio con Hotel &amp; Spa 'La Chacra' en San Pedro. Se difunden en la web con enlaces 'Conocé más'; la gestión concreta no está detallada.</t>
  </si>
  <si>
    <t xml:space="preserve">https://sgbatos.org.ar/turismo/</t>
  </si>
  <si>
    <t xml:space="preserve">Convenios de transporte y hotel: Beneficios.</t>
  </si>
  <si>
    <t xml:space="preserve">SGBATOS-7</t>
  </si>
  <si>
    <t xml:space="preserve">Camping 17 de Octubre</t>
  </si>
  <si>
    <t xml:space="preserve">Campo recreativo propio en Gregorio de Laferrere con parrillas, quincho, juegos infantiles, canchas de fútbol, pádel, vóley, tenis y básquet, dos piletas, buffet y gimnasio, para uso de afiliados y familia.</t>
  </si>
  <si>
    <t xml:space="preserve">https://sgbatos.org.ar/camping-17-de-octubre/</t>
  </si>
  <si>
    <t xml:space="preserve">SGBATOS-8</t>
  </si>
  <si>
    <t xml:space="preserve">Colonia de vacaciones</t>
  </si>
  <si>
    <t xml:space="preserve">Colonia de verano en enero y febrero para hijos de afiliados de 6 a 11 años. Inscripción a través del sindicato; la web no indica formulario online.</t>
  </si>
  <si>
    <t xml:space="preserve">https://sgbatos.org.ar/colonia-de-vacaciones/</t>
  </si>
  <si>
    <t xml:space="preserve">Colonia: inscripción (P04).</t>
  </si>
  <si>
    <t xml:space="preserve">SGBATOS-9</t>
  </si>
  <si>
    <t xml:space="preserve">Deportes y Copa SGBATOS</t>
  </si>
  <si>
    <t xml:space="preserve">Torneos internos de fútbol (Copa SGBATOS) y disciplinas como vóley femenino, fútbol femenino, ajedrez, rugby y básquet. La información de fixtures se distribuye también por la app.</t>
  </si>
  <si>
    <t xml:space="preserve">https://sgbatos.org.ar/deportes/</t>
  </si>
  <si>
    <t xml:space="preserve">Torneos: inscripciones (P04) y Novedades.</t>
  </si>
  <si>
    <t xml:space="preserve">SGBATOS-10</t>
  </si>
  <si>
    <t xml:space="preserve">Convenio SportClub</t>
  </si>
  <si>
    <t xml:space="preserve">Beneficio para acceder a la red de gimnasios SportClub con condiciones para afiliados. Se anuncia como 'nuevo beneficio'; el detalle de adhesión no está en la home.</t>
  </si>
  <si>
    <t xml:space="preserve">https://sgbatos.org.ar/nuevo-beneficio-sgbatos-sportclub/</t>
  </si>
  <si>
    <t xml:space="preserve">Convenio SportClub: Beneficios.</t>
  </si>
  <si>
    <t xml:space="preserve">SGBATOS-11</t>
  </si>
  <si>
    <t xml:space="preserve">Jardines materno-infantiles 'La Gotita de Agua'</t>
  </si>
  <si>
    <t xml:space="preserve">Dos sedes de jardín maternal propio para hijos de afiliados, con sitio web propio (lagotitadeagua.edu.ar). Además existe un reintegro por jardín materno-infantil para quienes usan otros jardines, que fue ampliado.</t>
  </si>
  <si>
    <t xml:space="preserve">https://sgbatos.org.ar/jardines-materno-infantil/</t>
  </si>
  <si>
    <t xml:space="preserve">Jardines propios: infraestructura; el reintegro alternativo en P07.</t>
  </si>
  <si>
    <t xml:space="preserve">SGBATOS-12</t>
  </si>
  <si>
    <t xml:space="preserve">Programa de lactancia 'Nutriendo el Futuro'</t>
  </si>
  <si>
    <t xml:space="preserve">Programa con beneficios exclusivos para madres y padres afiliados con bebés de hasta 2 años (apoyo a la lactancia). La web no detalla si incluye insumos, reintegros o talleres.</t>
  </si>
  <si>
    <t xml:space="preserve">https://sgbatos.org.ar/lactancia/</t>
  </si>
  <si>
    <t xml:space="preserve">Programa de lactancia disparado desde el recibo (P32); como beneficio informativo, hoy.</t>
  </si>
  <si>
    <t xml:space="preserve">SGBATOS-13</t>
  </si>
  <si>
    <t xml:space="preserve">Regalo por nacimiento</t>
  </si>
  <si>
    <t xml:space="preserve">Al nacer un hijo, el afiliado elige entre un cochecito con huevito o una practicuna. Se tramita ante el sindicato presentando la documentación del nacimiento.</t>
  </si>
  <si>
    <t xml:space="preserve">https://sgbatos.org.ar/nacimientos/</t>
  </si>
  <si>
    <t xml:space="preserve">P01, P24</t>
  </si>
  <si>
    <t xml:space="preserve">Regalo por nacimiento con elección (P01/P24).</t>
  </si>
  <si>
    <t xml:space="preserve">SGBATOS-14</t>
  </si>
  <si>
    <t xml:space="preserve">Beneficio por casamiento</t>
  </si>
  <si>
    <t xml:space="preserve">Estadía de 7 días con desayuno en los Hoteles 15 de Mayo para afiliados que contraen matrimonio.</t>
  </si>
  <si>
    <t xml:space="preserve">https://sgbatos.org.ar/casamiento/</t>
  </si>
  <si>
    <t xml:space="preserve">Estadía por casamiento: voucher (P02).</t>
  </si>
  <si>
    <t xml:space="preserve">SGBATOS-15</t>
  </si>
  <si>
    <t xml:space="preserve">Día del Niño</t>
  </si>
  <si>
    <t xml:space="preserve">Entrega de un juguete a cada hijo de afiliado en el Día del Niño.</t>
  </si>
  <si>
    <t xml:space="preserve">https://sgbatos.org.ar/dia-del-nino/</t>
  </si>
  <si>
    <t xml:space="preserve">Día del Niño: campaña (P04).</t>
  </si>
  <si>
    <t xml:space="preserve">SGBATOS-16</t>
  </si>
  <si>
    <t xml:space="preserve">Becas secundarias</t>
  </si>
  <si>
    <t xml:space="preserve">550 becas anuales para hijos de afiliados que cursan la enseñanza secundaria. La web no publica el formulario ni el criterio de asignación.</t>
  </si>
  <si>
    <t xml:space="preserve">https://sgbatos.org.ar/becas/</t>
  </si>
  <si>
    <t xml:space="preserve">SGBATOS-17</t>
  </si>
  <si>
    <t xml:space="preserve">Kit escolar (guardapolvo, mochila y útiles)</t>
  </si>
  <si>
    <t xml:space="preserve">Kit escolar con mochila, útiles y guardapolvo para hijos de afiliados que concurren a escuela pública. Entrega anual presencial.</t>
  </si>
  <si>
    <t xml:space="preserve">https://sgbatos.org.ar/guardapolvos-y-utiles/</t>
  </si>
  <si>
    <t xml:space="preserve">Kit escolar: campaña (P04).</t>
  </si>
  <si>
    <t xml:space="preserve">SGBATOS-18</t>
  </si>
  <si>
    <t xml:space="preserve">Institutos educativos propios (ITLM e IUAS)</t>
  </si>
  <si>
    <t xml:space="preserve">Instituto Tecnológico Leopoldo Marechal (formación técnica) e Instituto Universitario del Agua y Saneamiento (formación universitaria vinculada al rubro), con sitios propios; orientados a afiliados, familia y en principio abiertos al público.</t>
  </si>
  <si>
    <t xml:space="preserve">https://www.iuas.edu.ar/</t>
  </si>
  <si>
    <t xml:space="preserve">Institutos propios: Capacitación (P22) y semillero (P21).</t>
  </si>
  <si>
    <t xml:space="preserve">SGBATOS-19</t>
  </si>
  <si>
    <t xml:space="preserve">Caja Complementaria para jubilados</t>
  </si>
  <si>
    <t xml:space="preserve">Haber complementario mensual que el sindicato paga a jubilados y pensionados de la actividad, financiado con un aporte mensual de los trabajadores activos. Es una caja propia de complemento previsional (la página de detalle no respondió).</t>
  </si>
  <si>
    <t xml:space="preserve">https://sgbatos.org.ar/caja-complementaria/</t>
  </si>
  <si>
    <t xml:space="preserve">P13, P34</t>
  </si>
  <si>
    <t xml:space="preserve">Caja complementaria como entidad vinculada (P34) y ruta jubilatoria (P13).</t>
  </si>
  <si>
    <t xml:space="preserve">SGBATOS-20</t>
  </si>
  <si>
    <t xml:space="preserve">Centro Sanitarista de la Tercera Edad</t>
  </si>
  <si>
    <t xml:space="preserve">Espacio con talleres y actividades de encuentro para afiliados mayores y jubilados.</t>
  </si>
  <si>
    <t xml:space="preserve">https://sgbatos.org.ar/centro-sanitarista-de-la-tercera-edad/</t>
  </si>
  <si>
    <t xml:space="preserve">Centro de tercera edad: agenda e inscripciones (P04); nivel jubilado (P03).</t>
  </si>
  <si>
    <t xml:space="preserve">SGBATOS-21</t>
  </si>
  <si>
    <t xml:space="preserve">Servicio de cochería fúnebre</t>
  </si>
  <si>
    <t xml:space="preserve">Convenio con Cochería Caramuto que cubre traslado en ambulancia, sala velatoria, ataúd, coche fúnebre y de acompañamiento, para afiliados activos y jubilados.</t>
  </si>
  <si>
    <t xml:space="preserve">https://sgbatos.org.ar/cocheria-funebre/</t>
  </si>
  <si>
    <t xml:space="preserve">Cochería: ficha de emergencias (P29).</t>
  </si>
  <si>
    <t xml:space="preserve">SGBATOS-22</t>
  </si>
  <si>
    <t xml:space="preserve">Secretaría de Género e Igualdad</t>
  </si>
  <si>
    <t xml:space="preserve">Área específica con página propia de iniciativas de género e igualdad; funciona como punto de contacto/acompañamiento para afiliadas.</t>
  </si>
  <si>
    <t xml:space="preserve">https://sgbatos.org.ar/genero</t>
  </si>
  <si>
    <t xml:space="preserve">Secretaría de género: área con perfil y trámite confidencial.</t>
  </si>
  <si>
    <t xml:space="preserve">SGBATOS-23</t>
  </si>
  <si>
    <t xml:space="preserve">Revista y contenido institucional</t>
  </si>
  <si>
    <t xml:space="preserve">Revistas institucionales digitalizadas, sección 'En Clave Sanitarista' de noticias y canal de YouTube, además de redes sociales.</t>
  </si>
  <si>
    <t xml:space="preserve">https://sgbatos.org.ar/revista</t>
  </si>
  <si>
    <t xml:space="preserve">Revista y contenido: Novedades.</t>
  </si>
  <si>
    <t xml:space="preserve">STPCHPYA-1</t>
  </si>
  <si>
    <t xml:space="preserve">Carnet digital en app ELEVAR</t>
  </si>
  <si>
    <t xml:space="preserve">El afiliado descarga la app ELEVAR, se registra con el mail declarado al afiliarse y obtiene el carnet digital con la misma validez que el físico, que presenta junto a DNI y recibo. Si no tiene mail registrado debe actualizar datos en una sede. Incluye advertencia antifraude.</t>
  </si>
  <si>
    <t xml:space="preserve">https://pasteleros.org/carnet-digital/</t>
  </si>
  <si>
    <t xml:space="preserve">STPCHPYA-2</t>
  </si>
  <si>
    <t xml:space="preserve">Afiliación presencial con requisitos publicados</t>
  </si>
  <si>
    <t xml:space="preserve">Cualquier trabajador con recibo de sueldo se afilia en una sede con recibo y DNI; con menos de 3 meses de antigüedad presenta F.931 y nómina AFIP. Se detalla la documentación del grupo familiar (certificación ANSES, cónyuge, hijos, estudios para mayores de 21).</t>
  </si>
  <si>
    <t xml:space="preserve">https://pasteleros.org/trabajadores/</t>
  </si>
  <si>
    <t xml:space="preserve">P05, P18</t>
  </si>
  <si>
    <t xml:space="preserve">Afiliación online con grupo familiar (P08/P05).</t>
  </si>
  <si>
    <t xml:space="preserve">STPCHPYA-3</t>
  </si>
  <si>
    <t xml:space="preserve">Asesoramiento laboral y abogados laborales</t>
  </si>
  <si>
    <t xml:space="preserve">Servicio sindical de asesoramiento laboral con abogados para afiliados, en sede. Sin canal online publicado.</t>
  </si>
  <si>
    <t xml:space="preserve">Asesoramiento laboral: consulta por trámite; turnos en P12.</t>
  </si>
  <si>
    <t xml:space="preserve">STPCHPYA-4</t>
  </si>
  <si>
    <t xml:space="preserve">Gestoría previsional (jubilación)</t>
  </si>
  <si>
    <t xml:space="preserve">Gestoría para tramitar la jubilación de los afiliados, incluida en los servicios del sindicato.</t>
  </si>
  <si>
    <t xml:space="preserve">Gestoría previsional: consulta por trámite; P13 después.</t>
  </si>
  <si>
    <t xml:space="preserve">STPCHPYA-5</t>
  </si>
  <si>
    <t xml:space="preserve">Convenios y revisión salarial por rama</t>
  </si>
  <si>
    <t xml:space="preserve">Sección de convenios (CCT 739/16 y otros por rama) y actas de revisión salarial para consulta de trabajadores y empresas.</t>
  </si>
  <si>
    <t xml:space="preserve">https://pasteleros.org/convenios/</t>
  </si>
  <si>
    <t xml:space="preserve">Convenios por rama: Fórmulas + Novedades.</t>
  </si>
  <si>
    <t xml:space="preserve">STPCHPYA-6</t>
  </si>
  <si>
    <t xml:space="preserve">Ajuar por nacimiento (mutual)</t>
  </si>
  <si>
    <t xml:space="preserve">Kit de ajuar para asociadas embarazadas, retirable desde la semana 30 hasta el tercer mes del bebé, con certificado médico. Requiere 1 año de antigüedad y estar al día. Retiro presencial en sedes.</t>
  </si>
  <si>
    <t xml:space="preserve">https://pasteleros.org/subsidios-y-beneficios/</t>
  </si>
  <si>
    <t xml:space="preserve">Ajuar de la mutual: subsidio en especie (P01); entidad en P34.</t>
  </si>
  <si>
    <t xml:space="preserve">STPCHPYA-7</t>
  </si>
  <si>
    <t xml:space="preserve">Plan Materno Infantil (mutual)</t>
  </si>
  <si>
    <t xml:space="preserve">Subsidio mensual de $37.000 hasta los 2 años del hijo para trabajadoras activas en relación de dependencia, con partida de nacimiento y recibo con descuento mutual. Trámite presencial.</t>
  </si>
  <si>
    <t xml:space="preserve">Plan materno infantil mensual: reintegro/subsidio recurrente (P07/P32).</t>
  </si>
  <si>
    <t xml:space="preserve">STPCHPYA-8</t>
  </si>
  <si>
    <t xml:space="preserve">Subsidio por casamiento (mutual)</t>
  </si>
  <si>
    <t xml:space="preserve">Pago único de $79.000 a socios activos o adherentes que se casan, con certificado de matrimonio y DNI de ambos. Presencial.</t>
  </si>
  <si>
    <t xml:space="preserve">Subsidio por casamiento (P01).</t>
  </si>
  <si>
    <t xml:space="preserve">STPCHPYA-9</t>
  </si>
  <si>
    <t xml:space="preserve">Prestación por fallecimiento (mutual)</t>
  </si>
  <si>
    <t xml:space="preserve">Ayuda de $660.000 a los beneficiarios designados del asociado fallecido, con certificado de defunción, carnet, último recibo y libreta de casamiento si corresponde.</t>
  </si>
  <si>
    <t xml:space="preserve">Prestación por fallecimiento (P01/P29).</t>
  </si>
  <si>
    <t xml:space="preserve">STPCHPYA-10</t>
  </si>
  <si>
    <t xml:space="preserve">Subsidio por hijo con discapacidad (mutual)</t>
  </si>
  <si>
    <t xml:space="preserve">$40.000 mensuales a socios activos con hijos con discapacidad a cargo, con certificado ANSES y recibo con asignación; incluye evaluación médica de la institución.</t>
  </si>
  <si>
    <t xml:space="preserve">Subsidio mensual por hijo con discapacidad: recurrente (P07/P32) con CUD en padrón (P05).</t>
  </si>
  <si>
    <t xml:space="preserve">STPCHPYA-11</t>
  </si>
  <si>
    <t xml:space="preserve">FOCOM - Fondo Compensatorio Mutual</t>
  </si>
  <si>
    <t xml:space="preserve">Fondo de previsión para 'asegurar el futuro familiar' de los asociados; se consulta telefónicamente (opción 3) y tiene página propia.</t>
  </si>
  <si>
    <t xml:space="preserve">https://pasteleros.org/caba/focom/</t>
  </si>
  <si>
    <t xml:space="preserve">Fondo compensatorio de la mutual (P34).</t>
  </si>
  <si>
    <t xml:space="preserve">STPCHPYA-12</t>
  </si>
  <si>
    <t xml:space="preserve">Ayudas económicas / créditos personales (mutual)</t>
  </si>
  <si>
    <t xml:space="preserve">Créditos personales para asociados de la mutual; la web los enuncia con página propia sin tasas ni plazos, consulta por teléfono o WhatsApp de la mutual.</t>
  </si>
  <si>
    <t xml:space="preserve">https://pasteleros.org/creditos-personales/</t>
  </si>
  <si>
    <t xml:space="preserve">Créditos de la mutual (P06/P34).</t>
  </si>
  <si>
    <t xml:space="preserve">STPCHPYA-13</t>
  </si>
  <si>
    <t xml:space="preserve">Electrodomésticos 'Hogar' (mutual)</t>
  </si>
  <si>
    <t xml:space="preserve">Programa de venta de electrodomésticos para asociados con financiación mutual; detalle de planes no publicado.</t>
  </si>
  <si>
    <t xml:space="preserve">https://pasteleros.org/hogar/</t>
  </si>
  <si>
    <t xml:space="preserve">Electrodomésticos financiados (P24/P06).</t>
  </si>
  <si>
    <t xml:space="preserve">STPCHPYA-14</t>
  </si>
  <si>
    <t xml:space="preserve">Reintegros y descuentos (óptica, ortopedia, útiles, farmacia)</t>
  </si>
  <si>
    <t xml:space="preserve">La mutual reintegra gastos de óptica, ortopedia y útiles escolares y otorga descuentos farmacéuticos a asociados; sección 'Reintegros' y 'Prestaciones gratuitas' en la web. Trámite presencial con comprobantes.</t>
  </si>
  <si>
    <t xml:space="preserve">https://pasteleros.org/reintegros/</t>
  </si>
  <si>
    <t xml:space="preserve">Reintegros con lectura de factura (P07, ola 2).</t>
  </si>
  <si>
    <t xml:space="preserve">STPCHPYA-15</t>
  </si>
  <si>
    <t xml:space="preserve">Hoteles y cabañas propias</t>
  </si>
  <si>
    <t xml:space="preserve">Siete alojamientos propios (Majestic Córdoba, Saint Honoré Mar del Plata, Konke El Calafate y Konke Buenos Aires, apart en City Bell, cabañas en E. Echeverría, hostal en San Miguel) más destinos en convenio (Mendoza). Reserva por mail, WhatsApp, teléfono o presencial en el Departamento de Turismo; tarifas no publicadas.</t>
  </si>
  <si>
    <t xml:space="preserve">https://pasteleros.org/categoria/turismo/alojamientos-propios/</t>
  </si>
  <si>
    <t xml:space="preserve">STPCHPYA-16</t>
  </si>
  <si>
    <t xml:space="preserve">Descuentos en pasajes y espacios deportivos</t>
  </si>
  <si>
    <t xml:space="preserve">Recreación: descuentos en pasajes y acceso a espacios deportivos propios para afiliados, enunciados en la sección trabajadores.</t>
  </si>
  <si>
    <t xml:space="preserve">Descuentos en pasajes y espacios: Beneficios.</t>
  </si>
  <si>
    <t xml:space="preserve">STPCHPYA-17</t>
  </si>
  <si>
    <t xml:space="preserve">Escuela de Pastelería Profesional</t>
  </si>
  <si>
    <t xml:space="preserve">Escuela propia con formación profesional presencial y cursos online (sitio escueladepasteleria.com.ar) orientada a la inserción laboral; contacto por mail/teléfono. Ambiguo si es solo para afiliados o abierta al público (la escuela se promociona como institución educativa general).</t>
  </si>
  <si>
    <t xml:space="preserve">https://www.escueladepasteleria.com.ar/cursos-online/</t>
  </si>
  <si>
    <t xml:space="preserve">Escuela de pastelería: P22.</t>
  </si>
  <si>
    <t xml:space="preserve">STPCHPYA-18</t>
  </si>
  <si>
    <t xml:space="preserve">Sección Empresas</t>
  </si>
  <si>
    <t xml:space="preserve">Información para empleadores del rubro (convenios, aportes, contacto). Servicio a no afiliados del lado empleador.</t>
  </si>
  <si>
    <t xml:space="preserve">https://pasteleros.org/empresas/</t>
  </si>
  <si>
    <t xml:space="preserve">Sección empresas: módulo Empleadores hoy (notificaciones y trámites); boletas en P15.</t>
  </si>
  <si>
    <t xml:space="preserve">STPCHPYA-19</t>
  </si>
  <si>
    <t xml:space="preserve">WhatsApp de mutual y turismo</t>
  </si>
  <si>
    <t xml:space="preserve">Líneas de WhatsApp dedicadas para consultas de la mutual (+54 9 11 2411 3879) y reservas de turismo (11 2411-3882), además de teléfonos con horarios publicados.</t>
  </si>
  <si>
    <t xml:space="preserve">P17, P27</t>
  </si>
  <si>
    <t xml:space="preserve">Consultas por área vía trámites; WhatsApp como canal en P17/P27.</t>
  </si>
  <si>
    <t xml:space="preserve">STPCHPYA-20</t>
  </si>
  <si>
    <t xml:space="preserve">Carnet digital (app ELEVAR)</t>
  </si>
  <si>
    <t xml:space="preserve">El afiliado descarga la app ELEVAR, se registra con el mail declarado en su afiliación y accede a su carnet sindical digital, con igual validez que el físico. Requiere que el mail esté cargado; si no, actualización presencial de datos en una sede.</t>
  </si>
  <si>
    <t xml:space="preserve">STPCHPYA-21</t>
  </si>
  <si>
    <t xml:space="preserve">Incorporación de familiares (beneficiarios)</t>
  </si>
  <si>
    <t xml:space="preserve">Alta del grupo familiar para acceder a beneficios: CODEM de ANSES, certificado de matrimonio/convivencia, DNI/CUIL de cónyuge e hijos, certificado de estudios para hijos de 21-24 años y dos recibos con descuento. Presencial.</t>
  </si>
  <si>
    <t xml:space="preserve">Grupo familiar en el padrón (P05).</t>
  </si>
  <si>
    <t xml:space="preserve">STPCHPYA-22</t>
  </si>
  <si>
    <t xml:space="preserve">Convenios y escalas salariales por rama</t>
  </si>
  <si>
    <t xml:space="preserve">Página por cada rama (pastelería, heladería, pizzería, pizzería-fábricas, alfajores y postres, servicios rápidos) con convenios y acuerdos salariales descargables.</t>
  </si>
  <si>
    <t xml:space="preserve">Convenios y escalas: Fórmulas + Novedades.</t>
  </si>
  <si>
    <t xml:space="preserve">STPCHPYA-23</t>
  </si>
  <si>
    <t xml:space="preserve">Asesoramiento laboral y gestión de jubilación</t>
  </si>
  <si>
    <t xml:space="preserve">Abogados laborales del sindicato atienden consultas laborales y gestionan trámites jubilatorios de afiliados en sede (Sarmiento 4446, CABA).</t>
  </si>
  <si>
    <t xml:space="preserve">Asesoramiento y gestión de jubilación: consulta por trámite; P13.</t>
  </si>
  <si>
    <t xml:space="preserve">STPCHPYA-24</t>
  </si>
  <si>
    <t xml:space="preserve">Subsidio por casamiento + noche de bodas</t>
  </si>
  <si>
    <t xml:space="preserve">Subsidio de $79.000 (1 año de antigüedad, certificado de matrimonio y DNI de ambos) y además una noche gratis con media pensión en el Hotel Konke Buenos Aires para la pareja, a usar en la semana del casamiento.</t>
  </si>
  <si>
    <t xml:space="preserve">https://pasteleros.org/prestaciones-gratuitas/</t>
  </si>
  <si>
    <t xml:space="preserve">Subsidio por casamiento + noche de bodas (P01/P02).</t>
  </si>
  <si>
    <t xml:space="preserve">STPCHPYA-25</t>
  </si>
  <si>
    <t xml:space="preserve">Subsidio por fallecimiento</t>
  </si>
  <si>
    <t xml:space="preserve">$660.000 para el titular activo o su grupo familiar; el beneficiario presenta DNI, certificado de defunción, carnet mutual y último recibo.</t>
  </si>
  <si>
    <t xml:space="preserve">Subsidio por fallecimiento (P01/P29).</t>
  </si>
  <si>
    <t xml:space="preserve">STPCHPYA-26</t>
  </si>
  <si>
    <t xml:space="preserve">Subsidio hijo con discapacidad</t>
  </si>
  <si>
    <t xml:space="preserve">$40.000 mensuales cuando el menor no puede trasladarse por sí mismo, con certificado ANSES de discapacidad y comprobante de asignación.</t>
  </si>
  <si>
    <t xml:space="preserve">Subsidio mensual por hijo con discapacidad: recurrente (P07/P32).</t>
  </si>
  <si>
    <t xml:space="preserve">STPCHPYA-27</t>
  </si>
  <si>
    <t xml:space="preserve">Anteojos y plantillas ortopédicas gratuitas (FOCOM)</t>
  </si>
  <si>
    <t xml:space="preserve">Óptica propia (Av. Corrientes 4374) donde el afiliado con 6 meses de antigüedad y sin deuda obtiene anteojos gratuitos (hasta 4 pares por grupo familiar, 2 por persona) y plantillas termoconformadas (1 por persona, 4 por grupo). Financiado por el Fondo Compensatorio Mutual.</t>
  </si>
  <si>
    <t xml:space="preserve">Reintegro/entrega contra receta (P07).</t>
  </si>
  <si>
    <t xml:space="preserve">STPCHPYA-28</t>
  </si>
  <si>
    <t xml:space="preserve">Prótesis dentales gratuitas / reintegro 30%</t>
  </si>
  <si>
    <t xml:space="preserve">Hasta 2 prótesis dentales por año sin costo para socios activos con obra social ELEVAR; quienes no califican reciben un reintegro del 30%.</t>
  </si>
  <si>
    <t xml:space="preserve">Prestación odontológica.</t>
  </si>
  <si>
    <t xml:space="preserve">STPCHPYA-29</t>
  </si>
  <si>
    <t xml:space="preserve">Reintegros, farmacia y créditos (mutual)</t>
  </si>
  <si>
    <t xml:space="preserve">Reintegros en óptica/ortopedia, descuentos en farmacias adheridas, créditos y ayudas económicas y 'servicios de hogar' de la mutual. Consultas por teléfono 7700-7500 o WhatsApp +54 9 11 2411 3879.</t>
  </si>
  <si>
    <t xml:space="preserve">Reintegros y créditos de la mutual (P07/P06/P34).</t>
  </si>
  <si>
    <t xml:space="preserve">STPCHPYA-30</t>
  </si>
  <si>
    <t xml:space="preserve">Turismo: 7 alojamientos propios y campos recreativos</t>
  </si>
  <si>
    <t xml:space="preserve">Hoteles propios en Córdoba (Majestic), Mar del Plata (Saint Honoré), El Calafate (Konke Hotel &amp; Sabores), CABA (Konke Buenos Aires), apart en City Bell, cabañas en Esteban Echeverría y Hostal San Miguel, más tres campos recreativos, paquetes de luna de miel, Temaikén y descuentos en pasajes. Reserva por mail, WhatsApp 11 2411-3882, teléfono o presencial.</t>
  </si>
  <si>
    <t xml:space="preserve">https://pasteleros.org/categoria/turismo/</t>
  </si>
  <si>
    <t xml:space="preserve">SUPARA-1</t>
  </si>
  <si>
    <t xml:space="preserve">Afiliación online</t>
  </si>
  <si>
    <t xml:space="preserve">El trabajador aduanero completa un formulario web de solicitud de afiliación (supara.org.ar/afiliacion-supara-online); alternativamente descarga el PDF 'Solicitud de afiliación gremial 2020' y lo entrega en Tacuarí 560. Gestiona la Secretaría de Organización (afiliaciones@supara.org.ar, int. 327). No se publican cuota ni requisitos. [Reclasificado a semi-online: alternativa en papel entregada en sede; cierre online no verificado.]</t>
  </si>
  <si>
    <t xml:space="preserve">https://supara.org.ar/afiliaciones/</t>
  </si>
  <si>
    <t xml:space="preserve">SUPARA-2</t>
  </si>
  <si>
    <t xml:space="preserve">Socio adherente para jubilados</t>
  </si>
  <si>
    <t xml:space="preserve">Los afiliados que se jubilan pueden continuar el vínculo con el gremio como 'asociado adherente', conservando acceso a turismo, farmacia, deporte y créditos para jubilados. Se gestiona desde la sección de afiliaciones (supara.org.ar/socio-adherente).</t>
  </si>
  <si>
    <t xml:space="preserve">https://supara.org.ar/socio-adherente</t>
  </si>
  <si>
    <t xml:space="preserve">P03, P13</t>
  </si>
  <si>
    <t xml:space="preserve">Nivel adherente/jubilado en el padrón (P03, ola 1).</t>
  </si>
  <si>
    <t xml:space="preserve">SUPARA-3</t>
  </si>
  <si>
    <t xml:space="preserve">Mi Credencial (credencial digital web)</t>
  </si>
  <si>
    <t xml:space="preserve">Web-app en micredencial.supara.org.ar donde el afiliado accede a su credencial digital para acreditarse en beneficios y hoteles. Es una aplicación JavaScript (React) accesible desde el celular sin instalar app de tienda; el método de login no pudo verificarse sin ejecutar la app.</t>
  </si>
  <si>
    <t xml:space="preserve">https://micredencial.supara.org.ar/</t>
  </si>
  <si>
    <t xml:space="preserve">Credencial digital web.</t>
  </si>
  <si>
    <t xml:space="preserve">SUPARA-4</t>
  </si>
  <si>
    <t xml:space="preserve">Crédito personal 100% online</t>
  </si>
  <si>
    <t xml:space="preserve">Préstamos para afiliados de $1.500.000 (12 cuotas), $2.000.000 (24) y $3.500.000 (36) con cuota informada. El afiliado completa un formulario web con datos personales, legajo, aduana, CUIL, CBU y contactos, elige el plan, sube DNI frente/dorso, último recibo S.A.R.H.A. y certificado de retención de haberes de ARCA (máx. 5 MB c/u) y firma dibujando en pantalla. Se aclara que la presentación no implica aprobación automática.</t>
  </si>
  <si>
    <t xml:space="preserve">https://prestamopersonal.supara.org.ar/</t>
  </si>
  <si>
    <t xml:space="preserve">P06, P16</t>
  </si>
  <si>
    <t xml:space="preserve">Crédito 100% online con firma (P06, ola 2).</t>
  </si>
  <si>
    <t xml:space="preserve">SUPARA-5</t>
  </si>
  <si>
    <t xml:space="preserve">Anticipo de sueldo 100% online</t>
  </si>
  <si>
    <t xml:space="preserve">Adelanto de $500.000 en 3 cuotas de $182.172,59 para afiliados, con formulario web propio (anticiposueldo.supara.org.ar) que requiere recibo de sueldo, fotocopia S.A.R.H.A. y certificado de cesión de haberes; se descuenta por recibo.</t>
  </si>
  <si>
    <t xml:space="preserve">https://supara.org.ar/prestamos</t>
  </si>
  <si>
    <t xml:space="preserve">Anticipo de sueldo (P06, ola 2).</t>
  </si>
  <si>
    <t xml:space="preserve">SUPARA-6</t>
  </si>
  <si>
    <t xml:space="preserve">Crédito para jubilados</t>
  </si>
  <si>
    <t xml:space="preserve">Préstamo de $1.500.000 en 12 cuotas para jubilados adheridos a la Caja Complementaria, tramitado por el mismo formulario online de crédito personal (opción 'jubilados'). Además la Caja Complementaria otorga préstamos propios (Bolívar 332).</t>
  </si>
  <si>
    <t xml:space="preserve">Crédito para jubilados (P06/P13).</t>
  </si>
  <si>
    <t xml:space="preserve">SUPARA-7</t>
  </si>
  <si>
    <t xml:space="preserve">Crédito turismo con descuento por recibo</t>
  </si>
  <si>
    <t xml:space="preserve">Financiación de estadías en hoteles propios con débito directo en el recibo de sueldo. El afiliado descarga e imprime el PDF de 'autorización de descuento crédito para turismo' y lo presenta con la documentación en Finanzas (prestamos@supara.org.ar, int. 334).</t>
  </si>
  <si>
    <t xml:space="preserve">https://supara.org.ar/wp-content/uploads/2020/09/autorizacion_de_descuento_credito_para_Turismo.pdf</t>
  </si>
  <si>
    <t xml:space="preserve">P06, P20</t>
  </si>
  <si>
    <t xml:space="preserve">SUPARA-8</t>
  </si>
  <si>
    <t xml:space="preserve">Subsidio por matrimonio (formulario online)</t>
  </si>
  <si>
    <t xml:space="preserve">$1.000.000 (vigente desde 01/04/2026) para afiliados con al menos 3 meses de antigüedad, hasta 6 meses después del evento. Se solicita en matrimonio.supara.org.ar adjuntando acta de matrimonio (no libreta), último recibo y solicitud firmada por el afiliado y su delegado/jefe de división. Contacto subsidiosfinanzas@supara.org.ar, int. 351. [Reclasificado a semi-online: exige solicitud firmada por el afiliado y el delegado.]</t>
  </si>
  <si>
    <t xml:space="preserve">https://supara.org.ar/subsidios</t>
  </si>
  <si>
    <t xml:space="preserve">P01, P11</t>
  </si>
  <si>
    <t xml:space="preserve">Subsidio por matrimonio online (P01).</t>
  </si>
  <si>
    <t xml:space="preserve">SUPARA-9</t>
  </si>
  <si>
    <t xml:space="preserve">Subsidio por nacimiento + ajuar (formulario online)</t>
  </si>
  <si>
    <t xml:space="preserve">$800.000 (desde 01/04/2026) más ajuar, regalos y CD de cuentos infantiles. Requiere 3 meses de afiliación, partida del Registro Civil, recibo de sueldo y solicitud firmada por afiliado y delegado; plazo 6 meses. Formulario en nacimiento.supara.org.ar. [Reclasificado a semi-online: exige solicitud firmada por el afiliado y el delegado.]</t>
  </si>
  <si>
    <t xml:space="preserve">Subsidio por nacimiento + ajuar (P01).</t>
  </si>
  <si>
    <t xml:space="preserve">SUPARA-10</t>
  </si>
  <si>
    <t xml:space="preserve">Subsidio por fallecimiento (formulario online)</t>
  </si>
  <si>
    <t xml:space="preserve">$500.000 (desde 01/04/2026) para el grupo familiar de afiliados jubilados (los activos están cubiertos por seguro de vida). Requiere acta de defunción, libreta de matrimonio y autorización si lo reclama hijo/hermano; plazo 6 meses. Formulario en fallecimiento.supara.org.ar.</t>
  </si>
  <si>
    <t xml:space="preserve">SUPARA-11</t>
  </si>
  <si>
    <t xml:space="preserve">Seguro de vida y de trasplante de órganos</t>
  </si>
  <si>
    <t xml:space="preserve">Cobertura colectiva para afiliados y familiares con montos diferenciados según el beneficiario esté o no afiliado, incluye trasplante de órganos y reintegro diario por internación. Gestión con Finanzas (gestionfinanzas@supara.org.ar, int. 333).</t>
  </si>
  <si>
    <t xml:space="preserve">Seguro colectivo: producto asegurador (difusión; beneficiarios en P29).</t>
  </si>
  <si>
    <t xml:space="preserve">SUPARA-12</t>
  </si>
  <si>
    <t xml:space="preserve">Apoyo escolar gratuito (mochilas y útiles)</t>
  </si>
  <si>
    <t xml:space="preserve">Entrega anual gratuita de mochilas, útiles y material educativo para hijos de afiliados, solicitada mediante un micrositio con formulario online (apoyoescolar.supara.org.ar) que abre por período; al momento del relevamiento indicaba 'el período de recepción de solicitudes ha finalizado'.</t>
  </si>
  <si>
    <t xml:space="preserve">https://apoyoescolar.supara.org.ar/beneficio/utiles</t>
  </si>
  <si>
    <t xml:space="preserve">P04, P16</t>
  </si>
  <si>
    <t xml:space="preserve">Campaña de apoyo escolar con ventana (P04, ola 1).</t>
  </si>
  <si>
    <t xml:space="preserve">SUPARA-13</t>
  </si>
  <si>
    <t xml:space="preserve">Hoteles propios SUPARA</t>
  </si>
  <si>
    <t xml:space="preserve">Cuatro complejos propios: Complejo SUPARA Cataratas (Iguazú), Complejo 1º de Junio (Necochea), Hotel Metropolitano SUPARA (Buenos Aires) y Hotel Guaminí Misión (Misiones), cada uno con web propia para reservas; la página central deriva a esas webs, al teléfono 11 4339-0500 o al WhatsApp. No publica tarifas ni condiciones para no afiliados.</t>
  </si>
  <si>
    <t xml:space="preserve">https://supara.org.ar/hoteles-supara</t>
  </si>
  <si>
    <t xml:space="preserve">SUPARA-14</t>
  </si>
  <si>
    <t xml:space="preserve">Convenios directos de alojamiento</t>
  </si>
  <si>
    <t xml:space="preserve">Listado de alojamientos conveniados en el país (incl. Hotel Sennac Mar del Plata) con tarifa preferencial para afiliados; la reserva se coordina con el sindicato/hotel. Para jubilados existe promo 4 noches x 3 en temporada baja (15/3 a 15/12, sin feriados).</t>
  </si>
  <si>
    <t xml:space="preserve">https://supara.org.ar/convenio-alojamiento</t>
  </si>
  <si>
    <t xml:space="preserve">Convenios de alojamiento: Beneficios; tarifas por nivel en P03/P20.</t>
  </si>
  <si>
    <t xml:space="preserve">SUPARA-15</t>
  </si>
  <si>
    <t xml:space="preserve">Premio a la Labor Realizada (jubilación)</t>
  </si>
  <si>
    <t xml:space="preserve">Al jubilarse el afiliado recibe $800.000 y una estadía de 7 noches para dos personas en hoteles propios/conveniados, a usar dentro del año de la jubilación. Presenta la notificación de ANSES y dos formularios descargables por mail a prevision@supara.org.ar.</t>
  </si>
  <si>
    <t xml:space="preserve">https://supara.org.ar/jubilaciones/premio-labor-realizada/</t>
  </si>
  <si>
    <t xml:space="preserve">P02, P13</t>
  </si>
  <si>
    <t xml:space="preserve">Premio a la jubilación como subsidio + voucher (P01/P02).</t>
  </si>
  <si>
    <t xml:space="preserve">SUPARA-16</t>
  </si>
  <si>
    <t xml:space="preserve">Asesoría pre-jubilatoria</t>
  </si>
  <si>
    <t xml:space="preserve">La Secretaría de Previsión y Seguridad Social orienta al afiliado próximo a jubilarse: explica requisitos (30 años de aportes y 65/60 años, opción hasta 40 años/70 de edad), publica una guía de trámite en la intranet de ARCA y acompaña la gestión ante ANSES y el pase a la Caja Complementaria (certificación de servicios). Atención por mail prevision@supara.org.ar, int. 397 / 4339-0503.</t>
  </si>
  <si>
    <t xml:space="preserve">https://supara.org.ar/pre-jubilaciones</t>
  </si>
  <si>
    <t xml:space="preserve">Consulta previsional por trámite hoy; ruta jubilatoria (P13) en ola 2.</t>
  </si>
  <si>
    <t xml:space="preserve">SUPARA-17</t>
  </si>
  <si>
    <t xml:space="preserve">Caja Complementaria de Previsión del Personal Aduanero</t>
  </si>
  <si>
    <t xml:space="preserve">Entidad vinculada que abona un complemento jubilatorio y da préstamos a jubilados; el afiliado debe darse de alta al cobrar su primer haber presentando certificación de servicios (informes@cajacomplementariadeaduana.org.ar, 4345-0891). El CCT además prevé bonificación de 20 sueldos por jubilación con 15+ años (art. 179).</t>
  </si>
  <si>
    <t xml:space="preserve">https://cajacomplementariadeaduana.org.ar/</t>
  </si>
  <si>
    <t xml:space="preserve">SUPARA-18</t>
  </si>
  <si>
    <t xml:space="preserve">FAECE - Fundación de Altos Estudios en Comercio Exterior</t>
  </si>
  <si>
    <t xml:space="preserve">Fundación del sindicato que ofrece cursos gratuitos y descuentos importantes en formación en comercio exterior/aduana para afiliados y grupo familiar, con sitio propio faece.com.ar. Funciona como instituto de formación profesional del gremio.</t>
  </si>
  <si>
    <t xml:space="preserve">https://www.faece.com.ar/</t>
  </si>
  <si>
    <t xml:space="preserve">Fundación de formación: Capacitación (P22) y entidad vinculada (P34).</t>
  </si>
  <si>
    <t xml:space="preserve">SUPARA-19</t>
  </si>
  <si>
    <t xml:space="preserve">Convenios universitarios, idiomas y Tarifar</t>
  </si>
  <si>
    <t xml:space="preserve">Descuentos de 10-40% en grados, posgrados y cursos de varias universidades, 15% en 25 idiomas, 15% en cursos de organización de eventos y turismo, y 20% en cursos y suscripción a Tarifar (herramienta arancelaria aduanera). Extensivos al grupo familiar; gestión con Capacitación (capacitacionsup@supara.org.ar, int. 326).</t>
  </si>
  <si>
    <t xml:space="preserve">https://supara.org.ar/capacitacion-y-cultura</t>
  </si>
  <si>
    <t xml:space="preserve">Convenios universitarios y Tarifar: constancia con QR (P09).</t>
  </si>
  <si>
    <t xml:space="preserve">SUPARA-20</t>
  </si>
  <si>
    <t xml:space="preserve">Deporte y recreación</t>
  </si>
  <si>
    <t xml:space="preserve">Acceso a campos de deportes por convenio (Centro Deportivo SUTERH Venezuela 330, Megatlon Norte), torneos de tenis y fútbol, colonia de verano y viajes para hijos de afiliados, Día del Niño, becas deportivas, curso de buceo y jardín maternal. Inscripción por teléfono/mail a deporte@supara.org.ar (int. 323).</t>
  </si>
  <si>
    <t xml:space="preserve">https://supara.org.ar/deporte-y-recreacion</t>
  </si>
  <si>
    <t xml:space="preserve">Deporte y recreación: inscripciones (P04); convenios en Beneficios.</t>
  </si>
  <si>
    <t xml:space="preserve">SUPARA-21</t>
  </si>
  <si>
    <t xml:space="preserve">Convenios comerciales</t>
  </si>
  <si>
    <t xml:space="preserve">Sección 'Convenios' con descuentos en comercios y servicios para afiliados, acreditados con la credencial (física o Mi Credencial). No se pudo leer el detalle del listado.</t>
  </si>
  <si>
    <t xml:space="preserve">https://supara.org.ar/Convenios</t>
  </si>
  <si>
    <t xml:space="preserve">Convenios comerciales: Beneficios.</t>
  </si>
  <si>
    <t xml:space="preserve">SUPARA-22</t>
  </si>
  <si>
    <t xml:space="preserve">Comisión de ambiente y seguridad laboral</t>
  </si>
  <si>
    <t xml:space="preserve">Sección 'Ambiente y Seguridad' con la comisión de higiene y seguridad y protección de las condiciones de trabajo aduanero; canal para plantear situaciones del ambiente laboral. Mecánica de denuncia no detallada en la web.</t>
  </si>
  <si>
    <t xml:space="preserve">https://supara.org.ar/laboral-ambiente-trabajo/</t>
  </si>
  <si>
    <t xml:space="preserve">Ambiente y seguridad: encuestas de condiciones (P30) y trámite con empleador.</t>
  </si>
  <si>
    <t xml:space="preserve">SUPARA-23</t>
  </si>
  <si>
    <t xml:space="preserve">Igualdad, género y diversidad</t>
  </si>
  <si>
    <t xml:space="preserve">Secretaría con actividades e iniciativas de derechos humanos, igualdad de género y diversidad para el colectivo aduanero. Sin trámite online asociado.</t>
  </si>
  <si>
    <t xml:space="preserve">https://supara.org.ar/igualdad-genero-diversidad/</t>
  </si>
  <si>
    <t xml:space="preserve">Igualdad y género: área y contenido.</t>
  </si>
  <si>
    <t xml:space="preserve">SUPARA-24</t>
  </si>
  <si>
    <t xml:space="preserve">CCT, trabajo aduanero y novedades</t>
  </si>
  <si>
    <t xml:space="preserve">Publicación del Convenio Colectivo (PDF nov. 2025), sección 'Trabajo Aduanero' con documentación del oficio y sección de novedades/comunicados. Consulta libre, sin buscador de escalas ni calculadora.</t>
  </si>
  <si>
    <t xml:space="preserve">https://supara.org.ar/wp-content/uploads/2025/11/CCT.pdf</t>
  </si>
  <si>
    <t xml:space="preserve">CCT y novedades: Novedades.</t>
  </si>
  <si>
    <t xml:space="preserve">SUPARA-25</t>
  </si>
  <si>
    <t xml:space="preserve">WhatsApp de consultas y redes</t>
  </si>
  <si>
    <t xml:space="preserve">Botón de consulta por WhatsApp (5491131543269) presente en todas las páginas, teléfono central 11 4339-0500 con internos por secretaría, y presencia en Facebook, Instagram, TikTok, X y YouTube.</t>
  </si>
  <si>
    <t xml:space="preserve">Consultas vía trámites; WhatsApp en P17/P27.</t>
  </si>
  <si>
    <t xml:space="preserve">SUTEBA-1</t>
  </si>
  <si>
    <t xml:space="preserve">Afiliación online completa</t>
  </si>
  <si>
    <t xml:space="preserve">Formulario web con datos personales, distrito, categoría laboral (docente estatal/privado/municipal, adherente, jubilado), carga de DNI frente y dorso y comprobante de haberes, y alta del grupo familiar con parentesco y DNI. Respeta el trato digno de identidad de género (Ley 26.743). No exige paso presencial según la página.</t>
  </si>
  <si>
    <t xml:space="preserve">https://www.suteba.org.ar/afiliacion</t>
  </si>
  <si>
    <t xml:space="preserve">P05, P08</t>
  </si>
  <si>
    <t xml:space="preserve">SUTEBA-2</t>
  </si>
  <si>
    <t xml:space="preserve">Cálculo de Haberes (calculadora salarial docente)</t>
  </si>
  <si>
    <t xml:space="preserve">Aplicación web propia (haberes.suteba.org.ar) para que el docente calcule y consulte su salario según cargo, antigüedad y escala vigente. Abierta desde la web, sin necesidad de ser afiliado según lo visto.</t>
  </si>
  <si>
    <t xml:space="preserve">https://www.suteba.org.ar/enlaces-de-aplicaciones_407.html</t>
  </si>
  <si>
    <t xml:space="preserve">Calculadora de haberes (P14).</t>
  </si>
  <si>
    <t xml:space="preserve">SUTEBA-3</t>
  </si>
  <si>
    <t xml:space="preserve">Asignaciones Solidarias (subsidios)</t>
  </si>
  <si>
    <t xml:space="preserve">Subsidios para afiliados con al menos 6 meses de antigüedad por casamiento/unión convivencial, nacimiento, adopción, fallecimiento, salud y educación, más guardapolvos gratuitos. Cada asignación tiene página de requisitos; la solicitud se presenta con documentación en la seccional.</t>
  </si>
  <si>
    <t xml:space="preserve">https://www.suteba.org.ar/beneficios-sociales-requisitos_435.html</t>
  </si>
  <si>
    <t xml:space="preserve">Asignaciones solidarias con antigüedad (P01).</t>
  </si>
  <si>
    <t xml:space="preserve">SUTEBA-4</t>
  </si>
  <si>
    <t xml:space="preserve">Portal de turismo con reservas online</t>
  </si>
  <si>
    <t xml:space="preserve">Los afiliados reservan alojamiento en el Recreo del SUTEBA (Tigre), campings (Necochea y otros) y hoteles con convenio a través de turismo.suteba.org.ar, o alternativamente en su seccional. El portal publica condiciones generales y asignaciones de turismo.</t>
  </si>
  <si>
    <t xml:space="preserve">https://www.suteba.org.ar/promocion-social_6.html</t>
  </si>
  <si>
    <t xml:space="preserve">SUTEBA-5</t>
  </si>
  <si>
    <t xml:space="preserve">Asignaciones de turismo</t>
  </si>
  <si>
    <t xml:space="preserve">Aporte económico/cupo para vacaciones del afiliado en establecimientos propios o convenidos, gestionado con el área de Promoción Social y Turismo a través de la seccional.</t>
  </si>
  <si>
    <t xml:space="preserve">https://www.suteba.org.ar/asignaciones-de-turismo-8534.html</t>
  </si>
  <si>
    <t xml:space="preserve">SUTEBA-6</t>
  </si>
  <si>
    <t xml:space="preserve">Escuela de Montaña (trekking)</t>
  </si>
  <si>
    <t xml:space="preserve">Programa propio de actividades de montaña y trekking para afiliados, organizado por el área de turismo. Inscripción vía portal de turismo o seccional.</t>
  </si>
  <si>
    <t xml:space="preserve">Escuela de montaña: inscripciones (P04).</t>
  </si>
  <si>
    <t xml:space="preserve">SUTEBA-7</t>
  </si>
  <si>
    <t xml:space="preserve">Programa de Beneficios (descuentos negociados)</t>
  </si>
  <si>
    <t xml:space="preserve">Descuentos con hoteles en Villa Gesell, Santa Clara del Mar, Sierra de la Ventana y Brasil, alquiler de autos Hertz, teatro en Mar del Plata, bus turístico de CABA y campings provinciales. El afiliado consulta el listado en la web y acredita condición de afiliado ante el comercio.</t>
  </si>
  <si>
    <t xml:space="preserve">https://www.suteba.org.ar/programa-de-beneficios_582.html</t>
  </si>
  <si>
    <t xml:space="preserve">Programa de beneficios: Beneficios.</t>
  </si>
  <si>
    <t xml:space="preserve">SUTEBA-8</t>
  </si>
  <si>
    <t xml:space="preserve">Descuento en seguros (30%)</t>
  </si>
  <si>
    <t xml:space="preserve">30% de descuento en seguros de auto, moto y hogar por convenio con aseguradora. Se gestiona a través de la seccional/convenio.</t>
  </si>
  <si>
    <t xml:space="preserve">Descuento en seguros: Beneficios.</t>
  </si>
  <si>
    <t xml:space="preserve">SUTEBA-9</t>
  </si>
  <si>
    <t xml:space="preserve">Programa para jubilados</t>
  </si>
  <si>
    <t xml:space="preserve">Viajes organizados y salidas culturales para afiliados jubilados, coordinados por Promoción Social. Inscripción por seccional.</t>
  </si>
  <si>
    <t xml:space="preserve">Programa para jubilados: nivel (P03) e inscripciones (P04).</t>
  </si>
  <si>
    <t xml:space="preserve">SUTEBA-10</t>
  </si>
  <si>
    <t xml:space="preserve">Ferias de compañeras/os emprendedores</t>
  </si>
  <si>
    <t xml:space="preserve">Ferias en el predio de Tigre donde afiliados emprendedores venden sus productos. Idea de 'marketplace' interno del gremio, hoy presencial.</t>
  </si>
  <si>
    <t xml:space="preserve">Feria de emprendedores (P21, ola 2).</t>
  </si>
  <si>
    <t xml:space="preserve">SUTEBA-11</t>
  </si>
  <si>
    <t xml:space="preserve">Torneo provincial de fútbol 'Copa Democracia'</t>
  </si>
  <si>
    <t xml:space="preserve">Competencia deportiva entre seccionales para afiliados. Inscripción por seccional.</t>
  </si>
  <si>
    <t xml:space="preserve">Torneo provincial: inscripciones (P04).</t>
  </si>
  <si>
    <t xml:space="preserve">SUTEBA-12</t>
  </si>
  <si>
    <t xml:space="preserve">Coseguros</t>
  </si>
  <si>
    <t xml:space="preserve">Cobertura adicional complementaria de la obra social (IOMA) financiada por el sindicato. Se incluye solo como referencia porque es un beneficio sindical, no de la obra social; la gestión es presencial en seccional.</t>
  </si>
  <si>
    <t xml:space="preserve">https://www.suteba.org.ar/coseguros_71.html</t>
  </si>
  <si>
    <t xml:space="preserve">Coseguro de obra social: fuera del alcance.</t>
  </si>
  <si>
    <t xml:space="preserve">SUTEBA-13</t>
  </si>
  <si>
    <t xml:space="preserve">Sistema de trámites ante IOMA</t>
  </si>
  <si>
    <t xml:space="preserve">Aplicación web (tioma.suteba.org.ar) para que el afiliado inicie y siga trámites frente a la obra social provincial a través del sindicato. Se incluye porque es una herramienta de intermediación gremial, no una prestación médica.</t>
  </si>
  <si>
    <t xml:space="preserve">Trámites ante la obra social provincial: fuera del alcance.</t>
  </si>
  <si>
    <t xml:space="preserve">SUTEBA-14</t>
  </si>
  <si>
    <t xml:space="preserve">Sistema de reserva de recursos y seguimiento de equipamiento</t>
  </si>
  <si>
    <t xml:space="preserve">Aplicaciones internas (apps.suteba.org.ar/reservas y /sequ) para reservar salones/recursos del sindicato y seguir el equipamiento asignado. Funcionan con login; parecen orientadas a seccionales y delegados.</t>
  </si>
  <si>
    <t xml:space="preserve">P16, P20</t>
  </si>
  <si>
    <t xml:space="preserve">SUTEBA-15</t>
  </si>
  <si>
    <t xml:space="preserve">Jubilaciones: asesoría previsional</t>
  </si>
  <si>
    <t xml:space="preserve">Sección con información sobre jubilación docente (IPS) y asesoramiento en las seccionales para iniciar el trámite.</t>
  </si>
  <si>
    <t xml:space="preserve">https://www.suteba.org.ar/jubilaciones_7.html</t>
  </si>
  <si>
    <t xml:space="preserve">Asesoría previsional: consulta por trámite; P13.</t>
  </si>
  <si>
    <t xml:space="preserve">SUTEBA-16</t>
  </si>
  <si>
    <t xml:space="preserve">Paritarias y acuerdos salariales</t>
  </si>
  <si>
    <t xml:space="preserve">Publicación de actas paritarias y acuerdos (por ejemplo 'acuerdo paritario de resguardo') para consulta de los afiliados.</t>
  </si>
  <si>
    <t xml:space="preserve">https://www.suteba.org.ar/acuerdo-paritario-de-resguardo_808.html</t>
  </si>
  <si>
    <t xml:space="preserve">Paritarias: Novedades y Fórmulas.</t>
  </si>
  <si>
    <t xml:space="preserve">SUTEBA-17</t>
  </si>
  <si>
    <t xml:space="preserve">Formación político sindical</t>
  </si>
  <si>
    <t xml:space="preserve">Escuela de formación con cursos, talleres y encuentros para afiliados y delegados. Convocatorias publicadas en la web; cursada presencial o virtual según propuesta.</t>
  </si>
  <si>
    <t xml:space="preserve">Formación político sindical: P22.</t>
  </si>
  <si>
    <t xml:space="preserve">SUTEBA-18</t>
  </si>
  <si>
    <t xml:space="preserve">Revista digital y sitios temáticos</t>
  </si>
  <si>
    <t xml:space="preserve">Revista digital (revista.suteba.org.ar), 'Utopías en Movimiento' y 'RUTEvte' como plataformas de contenido pedagógico y cultural para docentes.</t>
  </si>
  <si>
    <t xml:space="preserve">Revista y sitios: Novedades.</t>
  </si>
  <si>
    <t xml:space="preserve">SUTERH-1</t>
  </si>
  <si>
    <t xml:space="preserve">App SUTERH Móvil – credencial digital y autogestión</t>
  </si>
  <si>
    <t xml:space="preserve">App oficial que muestra el carnet digital del afiliado (se presenta con DNI), permite ver y cancelar turnos, consultar aportes realizados por el empleador, ver el estado de solicitudes de coberturas especiales, resultados de laboratorio, pedir medicamentos a domicilio con foto de receta, enviar mensajes a delegados y autoridades sindicales y acceder a teléfonos de emergencia y novedades. Tras la afiliación el sindicato envía instrucciones para activar la app.</t>
  </si>
  <si>
    <t xml:space="preserve">https://apps.apple.com/ar/app/suterh-m%C3%B3vil/id1239631941</t>
  </si>
  <si>
    <t xml:space="preserve">P11, P12</t>
  </si>
  <si>
    <t xml:space="preserve">Credencial digital y consultas; consulta de aportes del empleador en P15 y mensajería a delegados en P11.</t>
  </si>
  <si>
    <t xml:space="preserve">SUTERH-2</t>
  </si>
  <si>
    <t xml:space="preserve">Afiliación y trámites 'sin salir de tu casa' (WhatsApp/mail)</t>
  </si>
  <si>
    <t xml:space="preserve">Alta de afiliación, recuperación de afiliados dados de baja por falta de pago y certificados de estudio/discapacidad se inician por WhatsApp (opción Afiliaciones &gt; 'Inicia tu trámite') o por mail. El afiliado descarga el instructivo y los formularios (incluido certificado de trabajo modelo), envía la documentación por Google Drive y recibe confirmación con la afiliación provisoria adjunta y las instrucciones para usar la app. Si falta documentación, se le pide o se le informa el impedimento.</t>
  </si>
  <si>
    <t xml:space="preserve">https://suterh.org.ar/nuevos-tramites-de-afiliacion-sin-salir-de-tu-casa/</t>
  </si>
  <si>
    <t xml:space="preserve">Afiliación por WhatsApp con afiliación provisoria (P08).</t>
  </si>
  <si>
    <t xml:space="preserve">SUTERH-3</t>
  </si>
  <si>
    <t xml:space="preserve">Afiliación presencial</t>
  </si>
  <si>
    <t xml:space="preserve">Alternativa tradicional en Sarmiento 2040 entrepiso, lunes a viernes 9 a 17, con dos recibos de sueldo, DNI y alta temprana AFIP; permite incorporar grupo familiar y recién nacidos, e hijos mayores de 21 que estudien con negativa de ANSES.</t>
  </si>
  <si>
    <t xml:space="preserve">https://suterh.org.ar/preguntas-frecuentes/</t>
  </si>
  <si>
    <t xml:space="preserve">SUTERH-4</t>
  </si>
  <si>
    <t xml:space="preserve">Reserva online de hoteles O2 y predio La Reja</t>
  </si>
  <si>
    <t xml:space="preserve">Red de 8 hoteles propios 'O2' (Gualeguaychú, Los Cocos, La Falda, Mar del Plata, Valeria del Mar, Villa Gesell, Iguazú, Buenos Aires) más dormis y camping del Predio La Reja, con reserva online a través del motor b-tech.com.ar/DOTIA. Para afiliados con carnet sindical y obra social activa, jubilados y hasta 2 invitados por afiliado; pago un mes antes, confirmación 72 hs antes, cancelación gratuita hasta 72 hs y penalidad de una noche por no show; descuentos para certificado de discapacidad.</t>
  </si>
  <si>
    <t xml:space="preserve">https://suterh.org.ar/nuestros-hoteles/</t>
  </si>
  <si>
    <t xml:space="preserve">SUTERH-5</t>
  </si>
  <si>
    <t xml:space="preserve">Complejo El Aguaribay (Sierra de la Ventana)</t>
  </si>
  <si>
    <t xml:space="preserve">Complejo propio con reserva por mail (no está en el motor online), mismas condiciones de elegibilidad que los hoteles. Atención también por teléfono 0810, WhatsApp (menú 10) y presencial en UMET, Sarmiento 2037.</t>
  </si>
  <si>
    <t xml:space="preserve">SUTERH-6</t>
  </si>
  <si>
    <t xml:space="preserve">Turismo (paquetes y salidas)</t>
  </si>
  <si>
    <t xml:space="preserve">Sección de turismo separada de los hoteles propios, con propuestas de viajes y salidas para afiliados; gestión por la oficina de turismo (teléfono/WhatsApp/presencial).</t>
  </si>
  <si>
    <t xml:space="preserve">SUTERH-7</t>
  </si>
  <si>
    <t xml:space="preserve">Asesoramiento gremial y laboral</t>
  </si>
  <si>
    <t xml:space="preserve">Sector Gremial (4º piso, lunes a viernes 10 a 18) atiende conflictos laborales, despidos, incapacidad, fallecimiento y diferencias salariales; el afiliado lleva último recibo de sueldo y carnet sindical. Canales alternativos: WhatsApp y teléfono.</t>
  </si>
  <si>
    <t xml:space="preserve">Asesoramiento gremial: consulta por trámite; turnos en P12.</t>
  </si>
  <si>
    <t xml:space="preserve">SUTERH-8</t>
  </si>
  <si>
    <t xml:space="preserve">Chat online y WhatsApp con menú</t>
  </si>
  <si>
    <t xml:space="preserve">Chat en la web de 10 a 18 hs y línea de WhatsApp con menú numerado por área (afiliaciones, hoteles, gremial, etc.) que funciona como puerta de entrada única para trámites y consultas. [Reclasificado a semi-online: puerta de entrada humana; los trámites siguen por otros canales.]</t>
  </si>
  <si>
    <t xml:space="preserve">Chat web y WhatsApp con menú: bot omnicanal (P17, ola 2).</t>
  </si>
  <si>
    <t xml:space="preserve">SUTERH-9</t>
  </si>
  <si>
    <t xml:space="preserve">Directorio de delegados</t>
  </si>
  <si>
    <t xml:space="preserve">Buscador web (servicios.suterh.org.ar/delegados) para que el trabajador encuentre a su delegado de zona; complementa la mensajería a delegados desde la app.</t>
  </si>
  <si>
    <t xml:space="preserve">SUTERH-10</t>
  </si>
  <si>
    <t xml:space="preserve">Sistema de Control de aportes (FATERYH)</t>
  </si>
  <si>
    <t xml:space="preserve">Plataforma web (cc.fateryh.org.ar) de la federación para controlar los aportes y contribuciones que el consorcio/empleador declara por el trabajador; la app también muestra los aportes.</t>
  </si>
  <si>
    <t xml:space="preserve">Control de aportes del empleador (P15, ola 2).</t>
  </si>
  <si>
    <t xml:space="preserve">SUTERH-11</t>
  </si>
  <si>
    <t xml:space="preserve">UMET y formación/capacitación</t>
  </si>
  <si>
    <t xml:space="preserve">Universidad propia (UMET) y programas de formación y capacitación profesional para trabajadores de edificios y familias, con sede en Sarmiento 2037. El sitio los enuncia en el menú Educación / Formación y Capacitación sin detalle de inscripción online.</t>
  </si>
  <si>
    <t xml:space="preserve">UMET y formación: P22.</t>
  </si>
  <si>
    <t xml:space="preserve">SUTERH-12</t>
  </si>
  <si>
    <t xml:space="preserve">Estatuto del Encargado y normativa laboral</t>
  </si>
  <si>
    <t xml:space="preserve">Texto del Estatuto del Encargado de Edificios y convenio publicado en la web para consulta de afiliados y trabajadores del rubro.</t>
  </si>
  <si>
    <t xml:space="preserve">https://suterh.org.ar/estatuto-del-encargado-de-edificios/</t>
  </si>
  <si>
    <t xml:space="preserve">Estatuto y normativa en Novedades / biblioteca (P18).</t>
  </si>
  <si>
    <t xml:space="preserve">SUTERH-13</t>
  </si>
  <si>
    <t xml:space="preserve">Cultura, deportes y actividades recreativas</t>
  </si>
  <si>
    <t xml:space="preserve">Secciones de cultura y de deportes/actividades recreativas para afiliados y familias, publicadas en la web; inscripción presencial.</t>
  </si>
  <si>
    <t xml:space="preserve">Cultura y deportes: inscripciones (P04).</t>
  </si>
  <si>
    <t xml:space="preserve">SUTERH-14</t>
  </si>
  <si>
    <t xml:space="preserve">Preguntas frecuentes</t>
  </si>
  <si>
    <t xml:space="preserve">Sección de autoservicio con respuestas sobre afiliación, obra social, gremial y canales, que reduce consultas presenciales.</t>
  </si>
  <si>
    <t xml:space="preserve">UEJN-1</t>
  </si>
  <si>
    <t xml:space="preserve">Botón 'Quiero afiliarme' que lleva a un formulario web en app.uejn.org.ar/afiliate donde el empleado judicial completa sus datos. El sitio no detalla requisitos ni si luego hay validación presencial; la landing 'afiliate completando el formulario' sugiere que el trámite se inicia y completa en línea.</t>
  </si>
  <si>
    <t xml:space="preserve">https://www.uejn.org.ar/afiliate</t>
  </si>
  <si>
    <t xml:space="preserve">UEJN-2</t>
  </si>
  <si>
    <t xml:space="preserve">Credencial de afiliado (digital y física)</t>
  </si>
  <si>
    <t xml:space="preserve">El afiliado pide su credencial desde app.uejn.org.ar/pedi-tu-credencial o desde la app móvil, que incluye la credencial virtual para exhibir en comercios adheridos. El sitio recuerda periódicamente pedirla, lo que indica que no se emite automáticamente al afiliarse.</t>
  </si>
  <si>
    <t xml:space="preserve">https://www.uejn.org.ar/articulos/%C2%A1record%C3%A1-pedir-tu-credencial-de-afiliado-la-uejn-349</t>
  </si>
  <si>
    <t xml:space="preserve">Credencial digital y física.</t>
  </si>
  <si>
    <t xml:space="preserve">UEJN-3</t>
  </si>
  <si>
    <t xml:space="preserve">App móvil UEJN</t>
  </si>
  <si>
    <t xml:space="preserve">App nativa con credencial virtual, todos los beneficios y descuentos, noticias del gremio y un canal de consultas sindicales. Declara no recopilar datos de usuario. Se descarga de App Store y Google Play; público exclusivo de empleados del Poder Judicial.</t>
  </si>
  <si>
    <t xml:space="preserve">https://play.google.com/store/apps/details?id=uejn.org.ar&amp;hl=en_US</t>
  </si>
  <si>
    <t xml:space="preserve">App: app del trabajador.</t>
  </si>
  <si>
    <t xml:space="preserve">UEJN-4</t>
  </si>
  <si>
    <t xml:space="preserve">Catálogo de beneficios y descuentos</t>
  </si>
  <si>
    <t xml:space="preserve">Portal web-app (app.uejn.org.ar/beneficios) y sección /beneficios del sitio con convenios comerciales, hospedajes y beneficios por regional/seccional (ej. Entre Ríos, Seccional 2). El acceso a los descuentos se realiza mostrando la credencial. El portal es una SPA que carga tras login, por lo que no se pudo ver el catálogo interno.</t>
  </si>
  <si>
    <t xml:space="preserve">https://www.uejn.org.ar/beneficios</t>
  </si>
  <si>
    <t xml:space="preserve">Catálogo de beneficios: Beneficios; uso registrado en P19.</t>
  </si>
  <si>
    <t xml:space="preserve">UEJN-5</t>
  </si>
  <si>
    <t xml:space="preserve">Gestión de pases (portal afigestion)</t>
  </si>
  <si>
    <t xml:space="preserve">Módulo de autogestión en afigestion.uejn.org.ar/afigestion/pases. El sitio no explica qué son los 'pases' (probablemente pases/autorizaciones para uso de instalaciones o traslados); ambiguo, pero es un portal con login propio del sindicato.</t>
  </si>
  <si>
    <t xml:space="preserve">Pases: trámite configurable.</t>
  </si>
  <si>
    <t xml:space="preserve">UEJN-6</t>
  </si>
  <si>
    <t xml:space="preserve">Turismo: hoteles propios, recreos y paquetes</t>
  </si>
  <si>
    <t xml:space="preserve">Secretaría de Turismo con portal propio (turismo.uejn.org.ar): Hotel Las Lomas (Pinamar), Hotel Náutico (Villa Gesell), Hostería Newen Hue (Villa Pehuenia), cabañas en Posadas, complejo FEJEPROC en San Bernardo, recreos, paquetes y convenios con hoteles en Argentina, Brasil, Chile y Uruguay; menciona una sección de financiación. El portal muestra la oferta pero no se detectó reserva online con pago; el contacto es por la sección Contacto.</t>
  </si>
  <si>
    <t xml:space="preserve">https://turismo.uejn.org.ar/</t>
  </si>
  <si>
    <t xml:space="preserve">UEJN-7</t>
  </si>
  <si>
    <t xml:space="preserve">Campus Virtual UEJN</t>
  </si>
  <si>
    <t xml:space="preserve">Plataforma de e-learning propia (campus.uejn.org.ar) con cursos y capacitaciones para el desarrollo profesional del empleado judicial. Se accede online; el sitio no detalla si hay certificación o costo.</t>
  </si>
  <si>
    <t xml:space="preserve">Campus externo enlazado desde Capacitación (P22).</t>
  </si>
  <si>
    <t xml:space="preserve">UEJN-8</t>
  </si>
  <si>
    <t xml:space="preserve">Canal de consultas sindicales en la app</t>
  </si>
  <si>
    <t xml:space="preserve">La app incluye un canal dedicado para consultas gremiales, según la descripción de la tienda. No se detalla si es chat, formulario o derivación a WhatsApp.</t>
  </si>
  <si>
    <t xml:space="preserve">Canal de consultas sindicales: trámites con conversación.</t>
  </si>
  <si>
    <t xml:space="preserve">UEJN-9</t>
  </si>
  <si>
    <t xml:space="preserve">Cuenta de usuario web y noticias</t>
  </si>
  <si>
    <t xml:space="preserve">El sitio principal tiene cuenta de usuario (uejn.org.ar/usuario), noticias y artículos por regional/seccional, y comunicación del gremio. Datos de contacto de sede central (011) 7091-0000.</t>
  </si>
  <si>
    <t xml:space="preserve">Cuenta y noticias: app y Novedades.</t>
  </si>
  <si>
    <t xml:space="preserve">UTEDYC-1</t>
  </si>
  <si>
    <t xml:space="preserve">Carnet sindical digital en app</t>
  </si>
  <si>
    <t xml:space="preserve">El afiliado accede a su carnet sindical digital desde la app Mi UTEDYC, tras registrarse; sirve para acreditar afiliación en parques, turismo y beneficios.</t>
  </si>
  <si>
    <t xml:space="preserve">https://www.utedyc.org.ar/miutedyc_app/index.html</t>
  </si>
  <si>
    <t xml:space="preserve">Carnet digital.</t>
  </si>
  <si>
    <t xml:space="preserve">UTEDYC-2</t>
  </si>
  <si>
    <t xml:space="preserve">Afiliación online por CUIL</t>
  </si>
  <si>
    <t xml:space="preserve">Portal de autogestión donde el trabajador ingresa su CUIL, genera su formulario de afiliación y puede retomar la gestión donde la dejó; incluye guía de uso descargable y muestra observaciones sobre la solicitud. Se presenta como trámite 100% online.</t>
  </si>
  <si>
    <t xml:space="preserve">https://www.utedyc.org.ar/Utedyc2.0/Aplicaciones/Afiliaciones/Forms/Frm_Afiliaciones_Inicio.html</t>
  </si>
  <si>
    <t xml:space="preserve">Afiliación online por CUIL con reanudación (P08, ola 1).</t>
  </si>
  <si>
    <t xml:space="preserve">UTEDYC-3</t>
  </si>
  <si>
    <t xml:space="preserve">Solicitud de beneficios desde la app</t>
  </si>
  <si>
    <t xml:space="preserve">La app permite consultar el catálogo de beneficios y solicitarlos directamente, además de descargar formularios. Los beneficios listados en la web incluyen revista digital, newsletter, libros, turismo y previsión social.</t>
  </si>
  <si>
    <t xml:space="preserve">Solicitud de beneficios desde la app (P01/P04, ola 1).</t>
  </si>
  <si>
    <t xml:space="preserve">UTEDYC-4</t>
  </si>
  <si>
    <t xml:space="preserve">Reserva y pago de parques recreativos</t>
  </si>
  <si>
    <t xml:space="preserve">Tres parques/polideportivos propios (5 de Febrero en Escobar, 19 de Julio en Villa Elisa, Santa Clara del Mar en construcción) con piletas, parrillas, aquagym y actividades infantiles; ingreso gratuito para afiliados, familiares a cargo, jubilados y aportantes solidarios, con tarifa por invitado. Desde la app se reserva y paga el lugar.</t>
  </si>
  <si>
    <t xml:space="preserve">https://www.utedyc.org.ar/nw35_02.html</t>
  </si>
  <si>
    <t xml:space="preserve">P03, P20</t>
  </si>
  <si>
    <t xml:space="preserve">UTEDYC-5</t>
  </si>
  <si>
    <t xml:space="preserve">Turismo nacional con reserva en app</t>
  </si>
  <si>
    <t xml:space="preserve">Secretaría de Turismo Nacional con opciones de alojamiento que se consultan y reservan desde la app Mi UTEDYC (la página web /turismo devolvió 404).</t>
  </si>
  <si>
    <t xml:space="preserve">UTEDYC-6</t>
  </si>
  <si>
    <t xml:space="preserve">Campus Virtual / Centro de Formación Profesional</t>
  </si>
  <si>
    <t xml:space="preserve">Cursos del Centro de Formación Profesional UTEDYC con inscripción desde la app al Campus Virtual (capacitacionutedyc.org.ar).</t>
  </si>
  <si>
    <t xml:space="preserve">http://www.capacitacionutedyc.org.ar/</t>
  </si>
  <si>
    <t xml:space="preserve">Campus con inscripción: P22.</t>
  </si>
  <si>
    <t xml:space="preserve">UTEDYC-7</t>
  </si>
  <si>
    <t xml:space="preserve">Escuela de Guardavidas</t>
  </si>
  <si>
    <t xml:space="preserve">Escuela propia de formación de guardavidas, vinculada al Departamento de Profesores y Guardavidas (tel. 011-3986-6940), para formar y certificar trabajadores del rubro.</t>
  </si>
  <si>
    <t xml:space="preserve">https://www.utedyc.org.ar/newsletter19/septiembre-n66/novedades-en-la-escuela-de-guardavidas.html</t>
  </si>
  <si>
    <t xml:space="preserve">P21, P23</t>
  </si>
  <si>
    <t xml:space="preserve">Escuela de guardavidas: cursos habilitantes (P22/P23).</t>
  </si>
  <si>
    <t xml:space="preserve">UTEDYC-8</t>
  </si>
  <si>
    <t xml:space="preserve">Asesoramiento previsional gratuito</t>
  </si>
  <si>
    <t xml:space="preserve">Departamento de Previsión Social con abogados que analizan la historia laboral, verifican aportes, orientan sobre opciones jubilatorias, reclamos de aportes, PAMI y reparación histórica; recomiendan contactar 3 años antes de la edad jubilatoria. Por mail secretaria.aps@utedyc.org.ar, teléfono o seccional.</t>
  </si>
  <si>
    <t xml:space="preserve">https://www.utedyc.org.ar/502/numero36/departamento-de-prevision-social.html</t>
  </si>
  <si>
    <t xml:space="preserve">Asesoría previsional proactiva (P13, ola 2); consulta por trámite hoy.</t>
  </si>
  <si>
    <t xml:space="preserve">UTEDYC-9</t>
  </si>
  <si>
    <t xml:space="preserve">Convenios colectivos y novedades paritarias</t>
  </si>
  <si>
    <t xml:space="preserve">Sección de convenios por rama y página de 'Novedades Paritarias' con escalas; accesibles también desde la app.</t>
  </si>
  <si>
    <t xml:space="preserve">https://www.utedyc.org.ar/dist/index.html</t>
  </si>
  <si>
    <t xml:space="preserve">Convenios y paritarias: Novedades y Fórmulas.</t>
  </si>
  <si>
    <t xml:space="preserve">UTEDYC-10</t>
  </si>
  <si>
    <t xml:space="preserve">Biblioteca digital y libros</t>
  </si>
  <si>
    <t xml:space="preserve">Biblioteca digital accesible desde la app y beneficio 'Libros' (publicaciones editadas por el sindicato) en la sección Beneficios.</t>
  </si>
  <si>
    <t xml:space="preserve">Biblioteca digital (P18, ola 1).</t>
  </si>
  <si>
    <t xml:space="preserve">UTEDYC-11</t>
  </si>
  <si>
    <t xml:space="preserve">Revista digital 5/02 y newsletter</t>
  </si>
  <si>
    <t xml:space="preserve">Publicación periódica '5/02' y newsletter digital con novedades de secretarías y beneficios.</t>
  </si>
  <si>
    <t xml:space="preserve">https://www.utedyc.org.ar/502/notasanteriores.html</t>
  </si>
  <si>
    <t xml:space="preserve">Revista y newsletter: Novedades; mail en P27.</t>
  </si>
  <si>
    <t xml:space="preserve">UTEDYC-12</t>
  </si>
  <si>
    <t xml:space="preserve">Línea de ayuda 0800 y actualización de datos</t>
  </si>
  <si>
    <t xml:space="preserve">Línea 0800-345-8833 de atención y, desde la app, el afiliado mantiene actualizados sus datos de contacto.</t>
  </si>
  <si>
    <t xml:space="preserve">Actualización de datos en el perfil; línea de ayuda vía trámites/bot (P17).</t>
  </si>
  <si>
    <t xml:space="preserve">UTEDYC-13</t>
  </si>
  <si>
    <t xml:space="preserve">Salud laboral y manual de teletrabajo</t>
  </si>
  <si>
    <t xml:space="preserve">Recursos descargables: manual de teletrabajo, información de salud y seguridad laboral y Secretaría de Digitalización y Nuevas Tecnologías.</t>
  </si>
  <si>
    <t xml:space="preserve">P18, P30</t>
  </si>
  <si>
    <t xml:space="preserve">Manual y recursos en biblioteca (P18).</t>
  </si>
  <si>
    <t xml:space="preserve">UTEDYC-14</t>
  </si>
  <si>
    <t xml:space="preserve">Autogestión empresas 'UTEDYC NEO' y tickets</t>
  </si>
  <si>
    <t xml:space="preserve">Sistema integral de autogestión para empleadores (DDJJ de aportes, login, guía) y sistema de tickets de soporte; existe versión anterior del sistema en paralelo.</t>
  </si>
  <si>
    <t xml:space="preserve">https://www.utedyc.org.ar/Utedyc2.0/Aplicaciones/Login/Forms/Login.html</t>
  </si>
  <si>
    <t xml:space="preserve">UTEDYC NEO y tickets: Empleadores hoy (trámites con empresas); DDJJ en P15.</t>
  </si>
  <si>
    <t xml:space="preserve">ACEITEROS-1</t>
  </si>
  <si>
    <t xml:space="preserve">Escalas salariales aceiteros y desmotadores</t>
  </si>
  <si>
    <t xml:space="preserve">La federación publica las escalas del CCT aceitero y del CCT desmotador como documentos/acuerdos (posts con PDF), más el texto de leyes laborales. Sin buscador ni calculadora.</t>
  </si>
  <si>
    <t xml:space="preserve">https://federacionaceitera.com.ar/convenios-y-leyes/</t>
  </si>
  <si>
    <t xml:space="preserve">Convenio, escalas y actas se publican en Novedades y viven en Fórmulas/Conceptos para validar el recibo; buscador y calculadora pública en P14 (corto plazo).</t>
  </si>
  <si>
    <t xml:space="preserve">ACEITEROS-2</t>
  </si>
  <si>
    <t xml:space="preserve">Acción Social (formulario Google)</t>
  </si>
  <si>
    <t xml:space="preserve">El menú de la federación enlaza 'Acción Social' a un Google Form (forms.gle) que al momento del relevamiento estaba cerrado; ambiguo qué prestación canalizaba (probablemente solicitudes de ayuda social a la federación). [Reclasificado a semi-online: formulario cerrado, destino ambiguo.]</t>
  </si>
  <si>
    <t xml:space="preserve">Formulario de acción social: subsidios (P01) con enlace corto (P16).</t>
  </si>
  <si>
    <t xml:space="preserve">ACEITEROS-3</t>
  </si>
  <si>
    <t xml:space="preserve">Salud laboral: comités mixtos y talleres</t>
  </si>
  <si>
    <t xml:space="preserve">Programa federativo de salud y seguridad con comités mixtos incorporados al CCT desde 2016, manual práctico descargable y talleres en las sedes donde los trabajadores identifican riesgos colectivamente.</t>
  </si>
  <si>
    <t xml:space="preserve">https://federacionaceitera.com.ar/salud-laboral/</t>
  </si>
  <si>
    <t xml:space="preserve">P10, P25, P30</t>
  </si>
  <si>
    <t xml:space="preserve">Comités mixtos y riesgos: encuestas de condiciones (P30, ola 1).</t>
  </si>
  <si>
    <t xml:space="preserve">ACEITEROS-4</t>
  </si>
  <si>
    <t xml:space="preserve">Formación sindical para delegados</t>
  </si>
  <si>
    <t xml:space="preserve">Plenarios, congresos y talleres regionales para delegados de planta sobre derechos laborales, salud y economía; se difunden como crónicas, sin inscripción online.</t>
  </si>
  <si>
    <t xml:space="preserve">https://federacionaceitera.com.ar/category/formacion-sindical/</t>
  </si>
  <si>
    <t xml:space="preserve">Formación de delegados: Capacitación (P22) y rol delegado (P11).</t>
  </si>
  <si>
    <t xml:space="preserve">ACEITEROS-5</t>
  </si>
  <si>
    <t xml:space="preserve">Periódico 'El Trabajador Aceitero y Desmotador'</t>
  </si>
  <si>
    <t xml:space="preserve">Periódico gremial en formato digital publicado en la web, más sección de comunicados.</t>
  </si>
  <si>
    <t xml:space="preserve">https://federacionaceitera.com.ar/periodico-el-trabajador-aceitero-y-desmotador/</t>
  </si>
  <si>
    <t xml:space="preserve">Medio de comunicación propio o contenido editorial: se enlaza desde Novedades, no se reemplaza.</t>
  </si>
  <si>
    <t xml:space="preserve">ACEITEROS-6</t>
  </si>
  <si>
    <t xml:space="preserve">Portal de empresas (federación)</t>
  </si>
  <si>
    <t xml:space="preserve">Login para empleadoras del sector (gestion.federacionaceitera.com.ar) para gestiones de aportes/declaraciones con la federación; contenido no visible sin cuenta.</t>
  </si>
  <si>
    <t xml:space="preserve">https://gestion.federacionaceitera.com.ar/loginempresas.aspx</t>
  </si>
  <si>
    <t xml:space="preserve">Portal de empresas: P15.</t>
  </si>
  <si>
    <t xml:space="preserve">ACEITEROS-7</t>
  </si>
  <si>
    <t xml:space="preserve">SOEA - Portal de autogestión del afiliado</t>
  </si>
  <si>
    <t xml:space="preserve">Portal web con login donde el afiliado de SOEA hace 'trámites a distancia'; la web indica que libros escolares y kit de útiles se solicitan por este portal con solo el primer descuento de cuota en el recibo.</t>
  </si>
  <si>
    <t xml:space="preserve">https://www.soea.com.ar/</t>
  </si>
  <si>
    <t xml:space="preserve">Portal de trámites a distancia: app del trabajador con trámites; campañas de útiles en P04.</t>
  </si>
  <si>
    <t xml:space="preserve">ACEITEROS-8</t>
  </si>
  <si>
    <t xml:space="preserve">SOEA - Afiliación remota o con delegado</t>
  </si>
  <si>
    <t xml:space="preserve">Se afilia con el delegado de planta o en sede, o a distancia enviando por mail (administracion@soeasl.org) copias de DNI/CUIL propios y de familia, partidas, recibo y CBU.</t>
  </si>
  <si>
    <t xml:space="preserve">Afiliación remota (P08).</t>
  </si>
  <si>
    <t xml:space="preserve">ACEITEROS-9</t>
  </si>
  <si>
    <t xml:space="preserve">SOEA - Subsidios por casamiento, nacimiento y bautismo</t>
  </si>
  <si>
    <t xml:space="preserve">Subsidios en dinero con montos publicados y escalonados por categoría del CCT (casamiento $1.501.500 a $2.019.000; nacimiento $600.000; bautismo $165.000), transferidos a CBU. Se presentan recibo, acta/partida/certificado y CBU en sede.</t>
  </si>
  <si>
    <t xml:space="preserve">Cubierto con propuestas de ola 1: P01.</t>
  </si>
  <si>
    <t xml:space="preserve">ACEITEROS-10</t>
  </si>
  <si>
    <t xml:space="preserve">SOEA - Subsidio por 15 años de hija y 18 años de hijo</t>
  </si>
  <si>
    <t xml:space="preserve">Subsidio por cumpleaños de 15 (hijas) y de 18 (hijos) con los mismos montos por categoría que el casamiento; se tramita en sede con recibo, DNI del hijo y CBU.</t>
  </si>
  <si>
    <t xml:space="preserve">P01, P05</t>
  </si>
  <si>
    <t xml:space="preserve">Cubierto con propuestas de ola 1: P01, P05.</t>
  </si>
  <si>
    <t xml:space="preserve">ACEITEROS-11</t>
  </si>
  <si>
    <t xml:space="preserve">SOEA - Libros y útiles escolares (trámite a distancia)</t>
  </si>
  <si>
    <t xml:space="preserve">Libros de texto para primaria y secundaria y kit escolar desde sala de 4 para hijos de afiliados, solicitados por el portal de afiliados sin documentación adicional.</t>
  </si>
  <si>
    <t xml:space="preserve">Libros y útiles a distancia: campaña (P04).</t>
  </si>
  <si>
    <t xml:space="preserve">ACEITEROS-12</t>
  </si>
  <si>
    <t xml:space="preserve">SOEA - Ayuda económica a estudiantes terciarios y universitarios</t>
  </si>
  <si>
    <t xml:space="preserve">Ayuda anual de $115.000 (terciarios) y $200.000 (universitarios) para afiliados o hijos, presentando alumno regular, certificación negativa ANSES y CBU en sede.</t>
  </si>
  <si>
    <t xml:space="preserve">Ayuda a estudiantes como campaña con adjuntos (P04).</t>
  </si>
  <si>
    <t xml:space="preserve">ACEITEROS-13</t>
  </si>
  <si>
    <t xml:space="preserve">SOEA - Guarda de puesto (subsidio por enfermedad prolongada)</t>
  </si>
  <si>
    <t xml:space="preserve">Subsidio mensual equivalente a 100 horas de básico conformado mientras dure la licencia por enfermedad inculpable (con antigüedad mínima de un año y telegrama de la empresa).</t>
  </si>
  <si>
    <t xml:space="preserve">Guarda de puesto ligada a licencias del recibo (P32).</t>
  </si>
  <si>
    <t xml:space="preserve">ACEITEROS-14</t>
  </si>
  <si>
    <t xml:space="preserve">SOEA - Reintegros de óptica y ortopedia</t>
  </si>
  <si>
    <t xml:space="preserve">Reintegro hasta $100.000 en anteojos; 50% en plantillas/calzado ortopédico, 100% en alquiler de muletas, sillas de ruedas, oxígeno y camas, y hasta $100.000 en accesorios. Se presenta receta, factura y CBU en sede.</t>
  </si>
  <si>
    <t xml:space="preserve">ACEITEROS-15</t>
  </si>
  <si>
    <t xml:space="preserve">SOEA - Asesoría legal gratuita y Defensa al Consumidor</t>
  </si>
  <si>
    <t xml:space="preserve">Abogados atienden gratis en sede en días fijos (miércoles y viernes; quincenal en San Jerónimo Sud) y hay un consultorio de defensa del consumidor los jueves.</t>
  </si>
  <si>
    <t xml:space="preserve">Asesoría legal: consulta por trámite; turnos en P12.</t>
  </si>
  <si>
    <t xml:space="preserve">ACEITEROS-16</t>
  </si>
  <si>
    <t xml:space="preserve">SOEA - Préstamo de sillas y tablones</t>
  </si>
  <si>
    <t xml:space="preserve">Hasta 50 sillas y 5 tablones para fiestas del afiliado o familia directa, pidiendo con 2 días de anticipación mediante formulario y recibo.</t>
  </si>
  <si>
    <t xml:space="preserve">ACEITEROS-17</t>
  </si>
  <si>
    <t xml:space="preserve">SOEA - Nichos y sepelio, ambulancia</t>
  </si>
  <si>
    <t xml:space="preserve">Servicio de sepelio o subsidio equivalente para afiliado y familia directa, activado por teléfono (con guardia fuera de horario); reintegro del 80% de traslados en ambulancia en 30 km con certificado médico.</t>
  </si>
  <si>
    <t xml:space="preserve">Sepelio: ficha de emergencias (P29); ambulancia queda fuera.</t>
  </si>
  <si>
    <t xml:space="preserve">ACEITEROS-18</t>
  </si>
  <si>
    <t xml:space="preserve">SOEA - Fondo voluntario de medicamentos y leche maternizada (Mutual AMPIAVA)</t>
  </si>
  <si>
    <t xml:space="preserve">Adhesión voluntaria por formulario a un fondo que da descuentos en farmacias del departamento y mayores en la Farmacia Mutual AMPIAVA; además 50% de la leche maternizada del mes 3 al año, solo comprada en esa farmacia.</t>
  </si>
  <si>
    <t xml:space="preserve">Prestación de salud o insumo: fuera del alcance definido (solo difusión y, si es subsidio, P01).</t>
  </si>
  <si>
    <t xml:space="preserve">ACEITEROS-19</t>
  </si>
  <si>
    <t xml:space="preserve">SOEA - Camping de Timbúes</t>
  </si>
  <si>
    <t xml:space="preserve">Camping propio abierto jueves a domingo para afiliados y grupo familiar registrado, con DNI y carnet; el uso de piletas requiere revisión médica previa en el centro médico del gremio.</t>
  </si>
  <si>
    <t xml:space="preserve">ACEITEROS-20</t>
  </si>
  <si>
    <t xml:space="preserve">SOEA - Salones de eventos (Mutual AMPIAVA)</t>
  </si>
  <si>
    <t xml:space="preserve">Alquiler de salones para celebraciones gestionado por la mutual (teléfono y mail mutual@ampiava.org.ar).</t>
  </si>
  <si>
    <t xml:space="preserve">ACEITEROS-21</t>
  </si>
  <si>
    <t xml:space="preserve">SOEA - Proyecto de viviendas (barrio aceitero)</t>
  </si>
  <si>
    <t xml:space="preserve">Desarrollos de barrios para afiliados en Timbúes y San Jerónimo Sud, en curso; información en sede.</t>
  </si>
  <si>
    <t xml:space="preserve">AEFIP-1</t>
  </si>
  <si>
    <t xml:space="preserve">Afiliación por ficha PDF</t>
  </si>
  <si>
    <t xml:space="preserve">El trabajador descarga la ficha de afiliación 2024 en PDF (https://aefip.org.ar/images/ficha_afiliacion2024.pdf), la completa y la entrega en la seccional o al delegado. No hay formulario online ni firma digital; la web no publica requisitos ni cuota.</t>
  </si>
  <si>
    <t xml:space="preserve">https://www.aefip.org.ar/institucional/afiliaciones</t>
  </si>
  <si>
    <t xml:space="preserve">Afiliación online con prellenado desde el recibo (P08) y grupo familiar (P05).</t>
  </si>
  <si>
    <t xml:space="preserve">AEFIP-2</t>
  </si>
  <si>
    <t xml:space="preserve">Credencial digital (app AEFIP Credencial Digital)</t>
  </si>
  <si>
    <t xml:space="preserve">App Android propia en la que el afiliado inicia sesión y obtiene su credencial con código QR para acreditarse en comercios y beneficios; además recibe notificaciones de eventos y noticias del gremio. Reemplaza a la credencial física en la mayoría de los convenios comerciales.</t>
  </si>
  <si>
    <t xml:space="preserve">https://play.google.com/store/apps/details?id=ar.org.aefip.aefipdigital.credencial</t>
  </si>
  <si>
    <t xml:space="preserve">AEFIP-3</t>
  </si>
  <si>
    <t xml:space="preserve">Certificado de afiliado para convenios educativos</t>
  </si>
  <si>
    <t xml:space="preserve">Para acceder a los descuentos en universidades e institutos el afiliado solicita por mail a capacitacion@aefip.org.ar un 'certificado de afiliado/a' que luego presenta en la institución. Es una constancia emitida a demanda, por correo electrónico.</t>
  </si>
  <si>
    <t xml:space="preserve">https://www.aefip.org.ar/beneficios/educativos</t>
  </si>
  <si>
    <t xml:space="preserve">Cubierto con propuestas de ola 1: P09.</t>
  </si>
  <si>
    <t xml:space="preserve">AEFIP-4</t>
  </si>
  <si>
    <t xml:space="preserve">Turismo gremial en hoteles propios</t>
  </si>
  <si>
    <t xml:space="preserve">Cinco unidades propias exclusivas para afiliados: Hotel Presidente Perón (Huerta Grande, pensión completa), Hostería Peumayén (Bariloche), Cabañas Necochea, Hotel Concord (Mar del Plata) y Hotel Da Vinci (CABA, con web propia). La reserva se hace por mail a turismogremial@aefip.org.ar indicando nombre, legajo, fechas, cantidad de personas y tipo de habitación, o por WhatsApp 11 5417-1360; no hay motor de reservas online ni tarifas publicadas.</t>
  </si>
  <si>
    <t xml:space="preserve">https://www.aefip.org.ar/beneficios/turismo-gremial</t>
  </si>
  <si>
    <t xml:space="preserve">Cubierto con propuestas de ola 1: P20.</t>
  </si>
  <si>
    <t xml:space="preserve">AEFIP-5</t>
  </si>
  <si>
    <t xml:space="preserve">Turismo conveniado (40+ destinos)</t>
  </si>
  <si>
    <t xml:space="preserve">Directorio de más de 40 destinos (Bariloche, Ushuaia, Mendoza, Salta, Mar del Plata, Uruguay, etc.) con hoteles y prestadores conveniados con tarifa preferencial para afiliados. Cada destino tiene su página; la gestión es por mail turismoconveniado@aefip.org.ar, WhatsApp o teléfono, sin precios ni códigos publicados.</t>
  </si>
  <si>
    <t xml:space="preserve">https://www.aefip.org.ar/beneficios/turismo-conveniado</t>
  </si>
  <si>
    <t xml:space="preserve">AEFIP-6</t>
  </si>
  <si>
    <t xml:space="preserve">Regalo de matrimonio: 7 noches para dos</t>
  </si>
  <si>
    <t xml:space="preserve">Al casarse, el afiliado recibe una estadía de 7 días para dos personas en Peumayén, Concord, Da Vinci o Cabañas Necochea, utilizable en temporada baja y con un año de validez. Se solicita por mail a la seccional o a través del delegado.</t>
  </si>
  <si>
    <t xml:space="preserve">https://www.aefip.org.ar/matrimonio</t>
  </si>
  <si>
    <t xml:space="preserve">Cubierto con propuestas de ola 1: P02.</t>
  </si>
  <si>
    <t xml:space="preserve">AEFIP-7</t>
  </si>
  <si>
    <t xml:space="preserve">Bodas de plata: 7 noches para dos</t>
  </si>
  <si>
    <t xml:space="preserve">Mismo beneficio que matrimonio (7 días para dos en hoteles propios, temporada baja, validez un año) para afiliados que cumplen 25 años de casados. Solicitud por mail a la seccional.</t>
  </si>
  <si>
    <t xml:space="preserve">https://www.aefip.org.ar/bodas-de-plata</t>
  </si>
  <si>
    <t xml:space="preserve">AEFIP-8</t>
  </si>
  <si>
    <t xml:space="preserve">Kit de nacimiento / ayuda por adopción</t>
  </si>
  <si>
    <t xml:space="preserve">Por nacimiento de un hijo el afiliado recibe un kit de productos para el recién nacido presentando copia de la partida de nacimiento; en caso de adopción puede optar por el kit o una ayuda económica equivalente. Se gestiona con el delegado o por mail a la seccional.</t>
  </si>
  <si>
    <t xml:space="preserve">https://www.aefip.org.ar/nacimiento</t>
  </si>
  <si>
    <t xml:space="preserve">Subsidios por evento vital (P01), vouchers por hitos (P02) y campañas con ventana (P04) sobre Trámites y Beneficios.</t>
  </si>
  <si>
    <t xml:space="preserve">AEFIP-9</t>
  </si>
  <si>
    <t xml:space="preserve">Regalo por jubilación: 7 noches para dos</t>
  </si>
  <si>
    <t xml:space="preserve">El afiliado que se jubila recibe una estadía de 7 días para dos personas en hoteles propios (temporada baja, validez un año). Se solicita por mail.</t>
  </si>
  <si>
    <t xml:space="preserve">https://www.aefip.org.ar/jubilacion</t>
  </si>
  <si>
    <t xml:space="preserve">Cubierto con propuestas de ola 1: P02, P13.</t>
  </si>
  <si>
    <t xml:space="preserve">AEFIP-10</t>
  </si>
  <si>
    <t xml:space="preserve">Descuentos en comercios y recreación</t>
  </si>
  <si>
    <t xml:space="preserve">Cartera de convenios con acreditación mediante credencial física o digital (app) y en algunos casos DNI o código por mail para compras online: neumáticos (Neumen 80% en la 2da unidad), parques acuáticos (Infinito 20%, CocoGuana 25%), balnearios (20-50%), librerías (Libremos 15%, Kel 10%), restaurantes Patanegra 20%, gimnasio Urban Six 20%, Tren a las Nubes 10-15%, excursiones Puerto Madryn 10%, Termas de Concepción 15% y 2x1, Almundo, Experts 15%, seguros Coverit.</t>
  </si>
  <si>
    <t xml:space="preserve">https://www.aefip.org.ar/beneficios/comercios</t>
  </si>
  <si>
    <t xml:space="preserve">P19, P26</t>
  </si>
  <si>
    <t xml:space="preserve">Beneficios (carrusel por rubro con convenios) cubre la difusión; registro de uso y cupos con el verificador de credencial en P19; entradas y bonos en P02/P24.</t>
  </si>
  <si>
    <t xml:space="preserve">AEFIP-11</t>
  </si>
  <si>
    <t xml:space="preserve">Beneficios culturales (teatro, escape games, realidad virtual)</t>
  </si>
  <si>
    <t xml:space="preserve">Descuentos en espectáculos y experiencias: musical Drácula II 30% (gestión por mail), Escape Games La Plata/Bariloche 20% y Meta Park (realidad virtual) 20%. Para estos últimos el afiliado escribe por WhatsApp al 11 5417-1360 con nombre, apellido, legajo y cantidad de entradas; no acumulable con otras promociones.</t>
  </si>
  <si>
    <t xml:space="preserve">https://www.aefip.org.ar/beneficios/culturales</t>
  </si>
  <si>
    <t xml:space="preserve">AEFIP-12</t>
  </si>
  <si>
    <t xml:space="preserve">Convenios universitarios y de idiomas</t>
  </si>
  <si>
    <t xml:space="preserve">Descuentos para afiliados en UBA-ENAP 35%, UCA 20%, UNLAM 15%, Austral 20% (Data Science), UAI 20-50%, UMSA 20%, UNC 15-20%, UNTREF 15%, Siglo 21 10%; idiomas en Instituto Neone (matrícula 100% y 15% cuotas), Alianza Francesa 10%, Wall Street English (matrícula 100% y 50%), Dante Alighieri, Liceo Británico, CUI-UBA 10%, ISIIC chino; tecnología en EducaciónIT 50% y SADIO 25%. Se accede presentando certificado de afiliado solicitado por mail a capacitacion@aefip.org.ar.</t>
  </si>
  <si>
    <t xml:space="preserve">Convenios universitarios: constancia con QR (P09).</t>
  </si>
  <si>
    <t xml:space="preserve">AEFIP-13</t>
  </si>
  <si>
    <t xml:space="preserve">Aula Virtual / seminarios gratuitos (Diálogos)</t>
  </si>
  <si>
    <t xml:space="preserve">La Secretaría de Capacitación y Cultura dicta seminarios virtuales gratuitos para afiliados sobre temas fiscales y tributarios, con inscripción online en https://www.aefip.org.ar/dialogos2. Se difunde desde la home.</t>
  </si>
  <si>
    <t xml:space="preserve">https://www.aefip.org.ar/dialogos2</t>
  </si>
  <si>
    <t xml:space="preserve">Seminarios por Zoom con inscripción: Capacitación (P22).</t>
  </si>
  <si>
    <t xml:space="preserve">AEFIP-14</t>
  </si>
  <si>
    <t xml:space="preserve">Convenio Colectivo, estatuto, actas y comunicados</t>
  </si>
  <si>
    <t xml:space="preserve">Repositorio institucional con CCT, estatuto, actas paritarias y comunicados de la Mesa Directiva Nacional ordenados por año (2014-2026), de lectura libre. Sirve como fuente de consulta de escalas y acuerdos, aunque sin buscador ni calculadora.</t>
  </si>
  <si>
    <t xml:space="preserve">Novedades y Noticias segmentadas con adjuntos; app del trabajador (PWA).</t>
  </si>
  <si>
    <t xml:space="preserve">AEFIP-15</t>
  </si>
  <si>
    <t xml:space="preserve">Canales de atención: WhatsApp, teléfono, redes</t>
  </si>
  <si>
    <t xml:space="preserve">Línea de WhatsApp gremial 11 5417-1360 como canal transversal para turismo, cultura y consultas; teléfono 4381-9853, sede Alsina 1440 (L-V 9-18); Facebook, X, Instagram y YouTube. La app también funciona como canal de notificaciones.</t>
  </si>
  <si>
    <t xml:space="preserve">Consultas vía trámites y notificaciones; WhatsApp en P17/P27.</t>
  </si>
  <si>
    <t xml:space="preserve">AEFIP-16</t>
  </si>
  <si>
    <t xml:space="preserve">Encuentros regionales y actividades por secretarías</t>
  </si>
  <si>
    <t xml:space="preserve">Encuentros regionales de afiliados y actividades de las secretarías de Igualdad de Oportunidades y Género, Previsión Social y Estudios Fiscales/Laborales/Tecnológicos, difundidas en la home. No se detalla mecánica de inscripción.</t>
  </si>
  <si>
    <t xml:space="preserve">Inscripciones a actividades con cupo y ventana (P04) y agenda en Novedades.</t>
  </si>
  <si>
    <t xml:space="preserve">AEFIP-17</t>
  </si>
  <si>
    <t xml:space="preserve">Credencial digital (app)</t>
  </si>
  <si>
    <t xml:space="preserve">App Android que muestra la credencial virtual del afiliado para exhibir en comercios y prestadores adheridos, y que envía notificaciones de noticias y eventos. También existe credencial física; para compras online se pide un código de descuento por mail.</t>
  </si>
  <si>
    <t xml:space="preserve">https://play.google.com/store/apps/details?id=ar.org.aefip.aefipdigital.credencial&amp;hl=en_US</t>
  </si>
  <si>
    <t xml:space="preserve">AEFIP-18</t>
  </si>
  <si>
    <t xml:space="preserve">Turismo conveniado</t>
  </si>
  <si>
    <t xml:space="preserve">Convenios con hoteles y prestadores turísticos de terceros (Almundo, Tren a las Nubes, Puerto Madryn, balnearios, parques acuáticos) con descuento exhibiendo la credencial física o virtual.</t>
  </si>
  <si>
    <t xml:space="preserve">AEFIP-19</t>
  </si>
  <si>
    <t xml:space="preserve">Estadía gratuita por matrimonio, bodas de plata y jubilación</t>
  </si>
  <si>
    <t xml:space="preserve">Beneficios gremiales de ciclo de vida: 7 días de estadía para dos personas en un hotel propio (Bariloche, Mar del Plata, CABA o Necochea) al casarse, al cumplir 25 años de matrimonio o al jubilarse (si el jubilado se afilia). Válido un año, en temporada baja; se gestiona por mail aefip@aefip.org.ar o teléfono.</t>
  </si>
  <si>
    <t xml:space="preserve">https://www.aefip.org.ar/beneficios/gremiales</t>
  </si>
  <si>
    <t xml:space="preserve">AEFIP-20</t>
  </si>
  <si>
    <t xml:space="preserve">Kit de nacimiento y adopción</t>
  </si>
  <si>
    <t xml:space="preserve">Kit de productos para el recién nacido (contenido consultable en la plataforma) o ayuda económica equivalente en caso de adopción. Se solicita al delegado local o enviando la partida de nacimiento/documentación de adopción a la seccional.</t>
  </si>
  <si>
    <t xml:space="preserve">AEFIP-21</t>
  </si>
  <si>
    <t xml:space="preserve">Convenios educativos con universidades e institutos de idiomas</t>
  </si>
  <si>
    <t xml:space="preserve">Más de 30 convenios con descuentos (10% a 50%) en carreras de grado, posgrado e idiomas (UAI, UB, Siglo 21, UCA, UNLaM, UNC, Austral, ENAP-UBA, CUI, Alianza Francesa, Wall Street English, etc.). El afiliado escribe a capacitacion@aefip.org.ar, pide su certificado de afiliado y lo presenta en la institución.</t>
  </si>
  <si>
    <t xml:space="preserve">AEFIP-22</t>
  </si>
  <si>
    <t xml:space="preserve">Aula Virtual: capacitaciones gratuitas por Zoom</t>
  </si>
  <si>
    <t xml:space="preserve">Ciclos de capacitación técnica gratuitos para afiliados (ej. 'Multas en las determinaciones impositivas', 24/09 18 hs) dictados por Zoom, con página propia de inscripción (/dialogos2). Contenido específico de la profesión fiscal.</t>
  </si>
  <si>
    <t xml:space="preserve">AEFIP-23</t>
  </si>
  <si>
    <t xml:space="preserve">Convenios con comercios</t>
  </si>
  <si>
    <t xml:space="preserve">Unos 30 comercios y servicios (neumáticos, librerías, gastronomía, gimnasio, seguros, electrónica, balnearios, campos de recreo de otros gremios) con descuentos del 10% al 80% mostrando la credencial física o digital más DNI; para compras online se solicita código por mail.</t>
  </si>
  <si>
    <t xml:space="preserve">AEFIP-24</t>
  </si>
  <si>
    <t xml:space="preserve">Beneficios culturales y teatro</t>
  </si>
  <si>
    <t xml:space="preserve">Descuentos y actividades culturales (teatro, actividades en el Hotel Da Vinci). El sitio los lista como categoría con acceso por credencial; sin detalle de procedimiento.</t>
  </si>
  <si>
    <t xml:space="preserve">AEFIP-25</t>
  </si>
  <si>
    <t xml:space="preserve">Beneficios seccionales (Capital): subsidios y centro recreativo</t>
  </si>
  <si>
    <t xml:space="preserve">La Seccional Capital (sitio propio aefipcapital.org.ar) suma subsidios por nacimiento/adopción, noche de bodas, útiles escolares, Día del Niño, seguro de sepelio, emergencias médicas y el Centro Recreativo '19 de Mayo'. Se gestionan con la Secretaría de Asuntos Sociales por WhatsApp o mail.</t>
  </si>
  <si>
    <t xml:space="preserve">https://www.aefipcapital.org.ar/beneficios</t>
  </si>
  <si>
    <t xml:space="preserve">Seccionales y georreferenciación existen; "Mi sede" y directorio en P28.</t>
  </si>
  <si>
    <t xml:space="preserve">ALEARA-1</t>
  </si>
  <si>
    <t xml:space="preserve">Consulta de padrón de beneficiarios por CUIL</t>
  </si>
  <si>
    <t xml:space="preserve">El trabajador ingresa su CUIL en la web (sin login) y verifica si figura en el padrón. Si está, descarga el formulario de afiliación y lo envía por mail para recibir la credencial; si no está, se lo deriva a verificar con el empleador en la Superintendencia de Servicios de Salud. Es un 'pre-chequeo' de afiliación autoservicio. [Reclasificado a semi-online: la consulta es online pero la afiliación sigue por formulario enviado por mail.]</t>
  </si>
  <si>
    <t xml:space="preserve">https://aleara.com.ar/padron</t>
  </si>
  <si>
    <t xml:space="preserve">Consulta de padrón por CUIL sin login (P08/P09, ola 1).</t>
  </si>
  <si>
    <t xml:space="preserve">ALEARA-2</t>
  </si>
  <si>
    <t xml:space="preserve">Afiliación a ALEARA y a la mutual AMUPEJA (formularios descargables)</t>
  </si>
  <si>
    <t xml:space="preserve">Formularios PDF de afiliación al sindicato y a la mutual, que se completan y envían por mail o se presentan en la delegación. La condición de socio de AMUPEJA exige afiliación previa a ALEARA y 3 meses de aportes para acceder a subsidios.</t>
  </si>
  <si>
    <t xml:space="preserve">https://aleara.com.ar/fichas/74-descarga-los-formularios-de-afiliacion</t>
  </si>
  <si>
    <t xml:space="preserve">Afiliación online (P08); alta a mutual con P34.</t>
  </si>
  <si>
    <t xml:space="preserve">ALEARA-3</t>
  </si>
  <si>
    <t xml:space="preserve">Portal de liquidación de aportes para empleadores (alearapagos.com.ar)</t>
  </si>
  <si>
    <t xml:space="preserve">Sitio separado donde las empresas del juego liquidan y pagan aportes y contribuciones sindicales/mutuales. Dirigido a empleadores, no al afiliado.</t>
  </si>
  <si>
    <t xml:space="preserve">P15, P16</t>
  </si>
  <si>
    <t xml:space="preserve">Portal de aportes: P15.</t>
  </si>
  <si>
    <t xml:space="preserve">ALEARA-4</t>
  </si>
  <si>
    <t xml:space="preserve">Subsidio por nacimiento (dinero + cochecito)</t>
  </si>
  <si>
    <t xml:space="preserve">Entrega de un cochecito paraguas más un subsidio en efectivo acreditado por CBU. Requisitos: afiliación a ALEARA/AMUPEJA con 3 meses de aportes, presentar 20 días hábiles antes del parto: solicitud firmada, 2 últimos recibos, certificado de embarazo con fecha probable, CBU y DDJJ de CBU (PDF descargable); luego DNI/partida del bebé dentro de los 30 días. Se tramita por mail a servicios_administracion@aleara.com.ar o en delegación.</t>
  </si>
  <si>
    <t xml:space="preserve">https://aleara.com.ar/fichas/4</t>
  </si>
  <si>
    <t xml:space="preserve">Subsidio por nacimiento con checklist y CBU (P01).</t>
  </si>
  <si>
    <t xml:space="preserve">ALEARA-5</t>
  </si>
  <si>
    <t xml:space="preserve">Subsidios por cumpleaños y casamiento</t>
  </si>
  <si>
    <t xml:space="preserve">Subsidio económico anual por cumpleaños del afiliado (poco común) y subsidio por casamiento. Se solicitan en delegación o por mail; la web no detalla montos.</t>
  </si>
  <si>
    <t xml:space="preserve">https://aleara.com.ar/fichas/23</t>
  </si>
  <si>
    <t xml:space="preserve">P01, P02</t>
  </si>
  <si>
    <t xml:space="preserve">Subsidio por cumpleaños y casamiento (P01/P02, ola 1).</t>
  </si>
  <si>
    <t xml:space="preserve">ALEARA-6</t>
  </si>
  <si>
    <t xml:space="preserve">Reintegros: colonia de vacaciones, mudanza, plantillas, luz halógena, medicamentos</t>
  </si>
  <si>
    <t xml:space="preserve">Devolución parcial de gastos contra comprobante en rubros muy específicos: colonia de vacaciones de hijos, mudanza, plantillas ortopédicas, luz halógena (aparentemente tratamiento/equipo de fototerapia; la web no lo aclara) y medicamentos (este último de tipo salud, se lista porque lo ofrece el sindicato/mutual y no la obra social). Trámite por mail o delegación con comprobantes.</t>
  </si>
  <si>
    <t xml:space="preserve">Reintegros específicos (P07).</t>
  </si>
  <si>
    <t xml:space="preserve">ALEARA-7</t>
  </si>
  <si>
    <t xml:space="preserve">Financiaciones: cumpleaños, bautismo, ortodoncia, fiesta de 15, ayuda económica</t>
  </si>
  <si>
    <t xml:space="preserve">Planes de financiación/préstamos de la mutual para eventos familiares (bautismo, cumpleaños, fiesta de 15 años), tratamientos de ortodoncia y 'ayuda económica' para situaciones especiales. Se solicitan en delegación; sin simulador ni solicitud online.</t>
  </si>
  <si>
    <t xml:space="preserve">Financiaciones de eventos (P06).</t>
  </si>
  <si>
    <t xml:space="preserve">ALEARA-8</t>
  </si>
  <si>
    <t xml:space="preserve">Servicio de óptica</t>
  </si>
  <si>
    <t xml:space="preserve">Provisión de anteojos/óptica con cobertura o descuento a través del sindicato/mutual. Presencial en delegación u óptica conveniada.</t>
  </si>
  <si>
    <t xml:space="preserve">Óptica: Beneficios (convenio).</t>
  </si>
  <si>
    <t xml:space="preserve">ALEARA-9</t>
  </si>
  <si>
    <t xml:space="preserve">Seguro de vida y sepelio</t>
  </si>
  <si>
    <t xml:space="preserve">Cobertura de vida y sepelio para afiliados, gestionada por la mutual. Sin detalle de montos ni trámite online.</t>
  </si>
  <si>
    <t xml:space="preserve">Seguro/sepelio: ficha de emergencias y beneficiarios (P29).</t>
  </si>
  <si>
    <t xml:space="preserve">ALEARA-10</t>
  </si>
  <si>
    <t xml:space="preserve">Entrega de mochilas escolares</t>
  </si>
  <si>
    <t xml:space="preserve">Entrega anual de mochilas para hijos de afiliados, retiro en delegación.</t>
  </si>
  <si>
    <t xml:space="preserve">Mochilas: campaña (P04).</t>
  </si>
  <si>
    <t xml:space="preserve">ALEARA-11</t>
  </si>
  <si>
    <t xml:space="preserve">Asistencia legal integral</t>
  </si>
  <si>
    <t xml:space="preserve">Asesoramiento jurídico para afiliados en cuestiones laborales y otras, en delegaciones. No hay turno ni consulta online.</t>
  </si>
  <si>
    <t xml:space="preserve">Asistencia legal: consulta por trámite; turnos en P12.</t>
  </si>
  <si>
    <t xml:space="preserve">ALEARA-12</t>
  </si>
  <si>
    <t xml:space="preserve">Hotel El Galeón (Mar de Ajó) y turismo (alearaturismo.com.ar)</t>
  </si>
  <si>
    <t xml:space="preserve">Hotel propio en Mar de Ajó para afiliados y sitio de turismo separado con oferta de destinos y paquetes. La reserva se gestiona a través de la Secretaría de Turismo y Recreación / sitio de turismo.</t>
  </si>
  <si>
    <t xml:space="preserve">https://aleara.com.ar/fichas/29-hotel-el-galeon</t>
  </si>
  <si>
    <t xml:space="preserve">ALEARA-13</t>
  </si>
  <si>
    <t xml:space="preserve">Recreación, cultura, deporte y capacitación (Secretaría de Cultura y Capacitación)</t>
  </si>
  <si>
    <t xml:space="preserve">Actividades culturales, deportivas y cursos organizados por la secretaría, difundidos en la web y redes; inscripción por delegación.</t>
  </si>
  <si>
    <t xml:space="preserve">https://aleara.com.ar/fichas/18-secretaria-de-cultura-y-capacitacion</t>
  </si>
  <si>
    <t xml:space="preserve">Actividades y cursos: inscripciones (P04); cursos en P22.</t>
  </si>
  <si>
    <t xml:space="preserve">ALEARA-14</t>
  </si>
  <si>
    <t xml:space="preserve">Mapa de delegaciones y de agencias de lotería</t>
  </si>
  <si>
    <t xml:space="preserve">Mapa interactivo para ubicar la delegación más cercana y un mapa de agencias de lotería (lugares de trabajo representados), útil para trabajadores dispersos en comercios chicos.</t>
  </si>
  <si>
    <t xml:space="preserve">https://aleara.com.ar/mapa</t>
  </si>
  <si>
    <t xml:space="preserve">Mapa de delegaciones y lugares de trabajo (P28, ola 1).</t>
  </si>
  <si>
    <t xml:space="preserve">ALEARA-15</t>
  </si>
  <si>
    <t xml:space="preserve">Convenios colectivos y documentos</t>
  </si>
  <si>
    <t xml:space="preserve">Fichas con los CCT de la actividad (casinos, bingos, hipódromos, loterías) y un repositorio de documentos descargables. Sin escalas con buscador ni calculadora.</t>
  </si>
  <si>
    <t xml:space="preserve">https://aleara.com.ar/fichas/97</t>
  </si>
  <si>
    <t xml:space="preserve">Convenios y documentos: Novedades.</t>
  </si>
  <si>
    <t xml:space="preserve">ALEARA-16</t>
  </si>
  <si>
    <t xml:space="preserve">Medicina preventiva (mención, fuera de alcance)</t>
  </si>
  <si>
    <t xml:space="preserve">Programa de medicina preventiva listado como servicio del sindicato; es prestación de salud y se anota solo como referencia, no se relevó.</t>
  </si>
  <si>
    <t xml:space="preserve">https://aleara.com.ar/fichas/52-medicina-preventiva</t>
  </si>
  <si>
    <t xml:space="preserve">Medicina preventiva.</t>
  </si>
  <si>
    <t xml:space="preserve">APOC-1</t>
  </si>
  <si>
    <t xml:space="preserve">Afiliación por solicitud enviada por mail</t>
  </si>
  <si>
    <t xml:space="preserve">El trabajador completa la solicitud de afiliación y la envía a apoc@apoc.org.ar. La cuota es aproximadamente el 1,5% del salario bruto mensual. No hay formulario web con envío directo.</t>
  </si>
  <si>
    <t xml:space="preserve">APOC-2</t>
  </si>
  <si>
    <t xml:space="preserve">Reintegros y subsidios vía formulario online (Google Forms)</t>
  </si>
  <si>
    <t xml:space="preserve">Reintegro mensual por guardería/jardín maternal hasta sala de 5 (se adjunta factura del jardín y CBU, se puede acumular hasta 3 meses) y 'presente' por nacimiento o casamiento (certificado, DNI del bebé y CBU, dentro de los 6 meses del evento, con aporte al día). Se solicita desde una landing con botón a un Google Form y el pago se acredita por transferencia al CBU. Aplica a afiliados de organismos nacionales (SIGEN, PPN, JST, EURSPCABA, Control Nación).</t>
  </si>
  <si>
    <t xml:space="preserve">https://www.apoc.org.ar/reintegros-subsidios/</t>
  </si>
  <si>
    <t xml:space="preserve">P01, P07, P16, P32</t>
  </si>
  <si>
    <t xml:space="preserve">Reintegro mensual recurrente (P07, ola 2); el presente por nacimiento sí entra en P01 (corto).</t>
  </si>
  <si>
    <t xml:space="preserve">APOC-3</t>
  </si>
  <si>
    <t xml:space="preserve">Préstamos personales</t>
  </si>
  <si>
    <t xml:space="preserve">El sindicato otorga préstamos personales a afiliados, descontados en cuotas mensuales con tasa baja ajustada a la vigente en Banco Nación. Se solicitan por teléfono, mail o presencialmente en sede; montos y plazos no publicados.</t>
  </si>
  <si>
    <t xml:space="preserve">https://www.apoc.org.ar/prestamos-personales/</t>
  </si>
  <si>
    <t xml:space="preserve">Préstamos (P06, ola 2).</t>
  </si>
  <si>
    <t xml:space="preserve">APOC-4</t>
  </si>
  <si>
    <t xml:space="preserve">Asesoramiento jurídico y previsional</t>
  </si>
  <si>
    <t xml:space="preserve">Asesoría jurídica general y previsional para afiliados, con entrevista previa solicitada por teléfono (5510-5176). Atención presencial en sede.</t>
  </si>
  <si>
    <t xml:space="preserve">http://www.apoc.org.ar/asesoramiento-juridico-y-previsional/</t>
  </si>
  <si>
    <t xml:space="preserve">Asesoría jurídica y previsional: consulta por trámite; turnos en P12.</t>
  </si>
  <si>
    <t xml:space="preserve">APOC-5</t>
  </si>
  <si>
    <t xml:space="preserve">Asesoramiento contable</t>
  </si>
  <si>
    <t xml:space="preserve">Servicio de asesoramiento contable (impuestos personales, monotributo, etc.) para afiliados, listado dentro de Beneficios; detalle de canal no publicado.</t>
  </si>
  <si>
    <t xml:space="preserve">https://www.apoc.org.ar/asesoramiento-contable/</t>
  </si>
  <si>
    <t xml:space="preserve">Asesoría contable: consulta por trámite; turnos en P12.</t>
  </si>
  <si>
    <t xml:space="preserve">APOC-6</t>
  </si>
  <si>
    <t xml:space="preserve">Asesoramiento con Desirée Faraone (convenio externo)</t>
  </si>
  <si>
    <t xml:space="preserve">Beneficio de asesoramiento brindado por una profesional externa (sitio desireefaraone.com.ar) con condiciones para afiliados; el rubro exacto no está especificado en la lista de beneficios.</t>
  </si>
  <si>
    <t xml:space="preserve">https://www.desireefaraone.com.ar/</t>
  </si>
  <si>
    <t xml:space="preserve">Convenio externo: Beneficios.</t>
  </si>
  <si>
    <t xml:space="preserve">APOC-7</t>
  </si>
  <si>
    <t xml:space="preserve">Turismo con destinos en todo el país</t>
  </si>
  <si>
    <t xml:space="preserve">Oferta de hospedaje organizada por región (Litoral, Patagonia, Cuyo, NOA, Córdoba, Costa Atlántica, Buenos Aires), con consultas de disponibilidad y tarifas por teléfono (5510-5095) o mail (turismo@apoc.org.ar). Vinculado a 'Pasaje 17' (hospedaje) y a la agencia El Nacional.</t>
  </si>
  <si>
    <t xml:space="preserve">https://www.apoc.org.ar/turismo/</t>
  </si>
  <si>
    <t xml:space="preserve">APOC-8</t>
  </si>
  <si>
    <t xml:space="preserve">Centro Deportivo</t>
  </si>
  <si>
    <t xml:space="preserve">Centro deportivo propio o en convenio para afiliados, listado en Beneficios con página propia; detalle de actividades no relevado.</t>
  </si>
  <si>
    <t xml:space="preserve">https://www.apoc.org.ar/centro-deportivo/</t>
  </si>
  <si>
    <t xml:space="preserve">APOC-9</t>
  </si>
  <si>
    <t xml:space="preserve">Beneficio Óptica</t>
  </si>
  <si>
    <t xml:space="preserve">Landing propia 'beneficiooptica' con descuento o cobertura en anteojos para afiliados. Listado como beneficio del sindicato (no de la obra social).</t>
  </si>
  <si>
    <t xml:space="preserve">https://www.apoc.org.ar/beneficiooptica/</t>
  </si>
  <si>
    <t xml:space="preserve">Óptica: Beneficios.</t>
  </si>
  <si>
    <t xml:space="preserve">APOC-10</t>
  </si>
  <si>
    <t xml:space="preserve">Bodas de Plata y presentes</t>
  </si>
  <si>
    <t xml:space="preserve">Reconocimiento a afiliados que cumplen 25 años de casados y entrega de presentes en fechas especiales (páginas 'Bodas de Plata' y 'Presentes').</t>
  </si>
  <si>
    <t xml:space="preserve">https://www.apoc.org.ar/bodas-de-plata/</t>
  </si>
  <si>
    <t xml:space="preserve">Bodas de plata y presentes: vouchers (P02).</t>
  </si>
  <si>
    <t xml:space="preserve">APOC-11</t>
  </si>
  <si>
    <t xml:space="preserve">Descuentos en viandas, belleza/salud, Insucom y Experiencia CQ</t>
  </si>
  <si>
    <t xml:space="preserve">Convenios comerciales: descuento en viandas para el almuerzo laboral, descuentos en belleza y bienestar, beneficio en Insucom (insumos/tecnología) y 'Experiencia CQ' (gastronomía/recreación). Cada uno con página propia.</t>
  </si>
  <si>
    <t xml:space="preserve">http://www.apoc.org.ar/descuento-en-viandas/</t>
  </si>
  <si>
    <t xml:space="preserve">Descuentos: Beneficios.</t>
  </si>
  <si>
    <t xml:space="preserve">APOC-12</t>
  </si>
  <si>
    <t xml:space="preserve">Clases grupales de guitarra</t>
  </si>
  <si>
    <t xml:space="preserve">Talleres grupales de guitarra para afiliados, como actividad cultural del sindicato.</t>
  </si>
  <si>
    <t xml:space="preserve">https://www.apoc.org.ar/clases-de-guitarra-grupales/</t>
  </si>
  <si>
    <t xml:space="preserve">Clases: inscripciones (P04).</t>
  </si>
  <si>
    <t xml:space="preserve">APOC-13</t>
  </si>
  <si>
    <t xml:space="preserve">Galería de arte y actividades culturales</t>
  </si>
  <si>
    <t xml:space="preserve">Galería de arte propia dentro de la sección Afiliados y agenda de actividades culturales (muestras, eventos).</t>
  </si>
  <si>
    <t xml:space="preserve">https://www.apoc.org.ar/galeria-de-arte/</t>
  </si>
  <si>
    <t xml:space="preserve">Galería y agenda cultural: Novedades; inscripciones en P04.</t>
  </si>
  <si>
    <t xml:space="preserve">APOC-14</t>
  </si>
  <si>
    <t xml:space="preserve">Centro de Estudios La Piedad y campus virtual</t>
  </si>
  <si>
    <t xml:space="preserve">Formación específica del rubro: Especialización en Auditoría Gubernamental (posgrado con UNSAM, convocatorias periódicas) y cursos de actualización en técnicas de control en campus virtual, combinando encuentros presenciales y virtuales. Orientado al personal de organismos de control.</t>
  </si>
  <si>
    <t xml:space="preserve">https://www.apoc.org.ar/centro-de-estudios/</t>
  </si>
  <si>
    <t xml:space="preserve">P22, P34</t>
  </si>
  <si>
    <t xml:space="preserve">Centro de estudios y campus: Capacitación (P22).</t>
  </si>
  <si>
    <t xml:space="preserve">APOC-15</t>
  </si>
  <si>
    <t xml:space="preserve">Centro de Jubilados</t>
  </si>
  <si>
    <t xml:space="preserve">Espacio institucional para afiliados jubilados con sección propia en el sitio.</t>
  </si>
  <si>
    <t xml:space="preserve">https://www.apoc.org.ar/centro-de-jubilados/</t>
  </si>
  <si>
    <t xml:space="preserve">Centro de jubilados: nivel jubilado (P03) y agenda (P04).</t>
  </si>
  <si>
    <t xml:space="preserve">APOC-16</t>
  </si>
  <si>
    <t xml:space="preserve">Red de Trabajadores</t>
  </si>
  <si>
    <t xml:space="preserve">Sección 'Red de Trabajadores' bajo Sobre APOC, aparentemente una red de contactos/delegados entre organismos de control; su funcionamiento no está detallado.</t>
  </si>
  <si>
    <t xml:space="preserve">https://www.apoc.org.ar/red-de-trabajadores/</t>
  </si>
  <si>
    <t xml:space="preserve">Red de delegados/trabajadores (P11, ola 2).</t>
  </si>
  <si>
    <t xml:space="preserve">APOC-17</t>
  </si>
  <si>
    <t xml:space="preserve">Secretaría de Empleo y Nuevas Tecnologías</t>
  </si>
  <si>
    <t xml:space="preserve">Secretaría dedicada a empleo y nuevas tecnologías con página propia; podría implicar orientación laboral o capacitación digital, no detallado.</t>
  </si>
  <si>
    <t xml:space="preserve">https://www.apoc.org.ar/secretaria-de-nuevo-empleo-y-nuevas-tecnologias/</t>
  </si>
  <si>
    <t xml:space="preserve">Empleo y nuevas tecnologías: Comunidad (P21) y Capacitación (P22).</t>
  </si>
  <si>
    <t xml:space="preserve">APOC-18</t>
  </si>
  <si>
    <t xml:space="preserve">Seguros (convenio AMCI)</t>
  </si>
  <si>
    <t xml:space="preserve">Enlace a AMCI (aseguradora/mutual de seguros) como proveedor asociado para afiliados; condiciones no publicadas.</t>
  </si>
  <si>
    <t xml:space="preserve">https://www.amci.com.ar/</t>
  </si>
  <si>
    <t xml:space="preserve">Seguros de terceros: difusión.</t>
  </si>
  <si>
    <t xml:space="preserve">ATE-1</t>
  </si>
  <si>
    <t xml:space="preserve">ATE Online (AteNet2) - portal de autogestión</t>
  </si>
  <si>
    <t xml:space="preserve">Sistema web con login para afiliados, empleadores y seccionales. La página de login no describe los trámites disponibles; requiere Firefox (versión desktop y móvil). Es la puerta de entrada digital que la sección Consultas recomienda para gestiones.</t>
  </si>
  <si>
    <t xml:space="preserve">http://ateonline.ateargentina.org.ar/AteNet2/Login.aspx</t>
  </si>
  <si>
    <t xml:space="preserve">ATE-2</t>
  </si>
  <si>
    <t xml:space="preserve">Boleta de depósito de aportes (pública)</t>
  </si>
  <si>
    <t xml:space="preserve">Generador público (sin login) de boleta de pago de aportes sindicales dentro de AteNet2, pensado para empleadores u organismos que depositan cuota sindical.</t>
  </si>
  <si>
    <t xml:space="preserve">http://ateonline.ateargentina.org.ar/AteNet2/publico/BoletaDePago.aspx</t>
  </si>
  <si>
    <t xml:space="preserve">Boleta de aportes (P15, ola 2).</t>
  </si>
  <si>
    <t xml:space="preserve">ATE-3</t>
  </si>
  <si>
    <t xml:space="preserve">Carnet virtual de afiliado (app ATE MOBILE)</t>
  </si>
  <si>
    <t xml:space="preserve">App Android (Play Store) donde el afiliado o jubilado ingresa DNI y fecha de nacimiento y obtiene automáticamente su carnet digital para acreditar afiliación. Según la nota consultada solo funcionaba en Samsung/Motorola; la home nacional la promociona con un video corto.</t>
  </si>
  <si>
    <t xml:space="preserve">Carnet virtual: credencial digital.</t>
  </si>
  <si>
    <t xml:space="preserve">ATE-4</t>
  </si>
  <si>
    <t xml:space="preserve">Descarga de la Ficha de Afiliación 2024 (con perspectiva de género y diversidad) en PDF; se completa y entrega al delegado o seccional. No hay afiliación 100% online a nivel nacional.</t>
  </si>
  <si>
    <t xml:space="preserve">https://ate.org.ar/wp-content/uploads/2024/09/Ficha-2024.pdf</t>
  </si>
  <si>
    <t xml:space="preserve">ATE-5</t>
  </si>
  <si>
    <t xml:space="preserve">Convenios ATE - escalas, paritarias e informes salariales</t>
  </si>
  <si>
    <t xml:space="preserve">Sitio dedicado (convenios.ate.org.ar) con comisiones paritarias, escalas salariales, actas, normativa, convenios colectivos e informes salariales, más material de descarga. Consulta abierta para cualquier trabajador estatal.</t>
  </si>
  <si>
    <t xml:space="preserve">https://convenios.ate.org.ar/</t>
  </si>
  <si>
    <t xml:space="preserve">ATE-6</t>
  </si>
  <si>
    <t xml:space="preserve">Consultas / Preguntas frecuentes</t>
  </si>
  <si>
    <t xml:space="preserve">Página informativa con FAQ sobre cómo afiliarse, qué hace un delegado, juntas internas, paritarias y estructura del gremio. No es un formulario; deriva a ATE Online, WhatsApp, redes y teléfono 011 4122-5700.</t>
  </si>
  <si>
    <t xml:space="preserve">https://ate.org.ar/consultas/</t>
  </si>
  <si>
    <t xml:space="preserve">P11, P18</t>
  </si>
  <si>
    <t xml:space="preserve">FAQ y onboarding (P18, ola 1).</t>
  </si>
  <si>
    <t xml:space="preserve">ATE-7</t>
  </si>
  <si>
    <t xml:space="preserve">Asesoramiento jurídico</t>
  </si>
  <si>
    <t xml:space="preserve">Departamento nacional que coordina una red de abogados en seccionales y define estrategias judiciales/administrativas en conflictos colectivos y convenios. El afiliado accede por mail (juridico@ateargentina.org.ar) o a través de su seccional.</t>
  </si>
  <si>
    <t xml:space="preserve">https://ate.org.ar/asesoramiento-juridico/</t>
  </si>
  <si>
    <t xml:space="preserve">Asesoramiento jurídico: consulta por trámite; turnos en P12.</t>
  </si>
  <si>
    <t xml:space="preserve">ATE-8</t>
  </si>
  <si>
    <t xml:space="preserve">Turismo ATE - catálogo 2025-2026</t>
  </si>
  <si>
    <t xml:space="preserve">Más de 250 opciones de alojamiento en convenio en todo el país para afiliados; consultas y reservas por mail (turismo@ateNacional.org.ar), WhatsApp de la Lic. en Turismo (+54 9 11 7242-5775) e Instagram @ate.turismo.</t>
  </si>
  <si>
    <t xml:space="preserve">https://ate.org.ar/hoteleria-y-turismo/</t>
  </si>
  <si>
    <t xml:space="preserve">ATE-9</t>
  </si>
  <si>
    <t xml:space="preserve">Hoteles propios (Quagliaro, 27 de Junio, Cincuentenario)</t>
  </si>
  <si>
    <t xml:space="preserve">Tres hoteles del gremio: Héctor Quagliaro (Balvanera, CABA, 27 hab., auditorio 160 personas, accesible), 27 de Junio (San Telmo, CABA, 34 hab.) y Cincuentenario (Mar del Plata, 21 hab.). Reserva por mail o WhatsApp de cada hotel; tarifas no publicadas.</t>
  </si>
  <si>
    <t xml:space="preserve">ATE-10</t>
  </si>
  <si>
    <t xml:space="preserve">Campo recreativo 15 de Enero (Burzaco)</t>
  </si>
  <si>
    <t xml:space="preserve">Predio de 12 hectáreas con pileta, parrillas, canchas y juegos infantiles para afiliados y familias. Consulta telefónica 011-4233-0888; sin reserva online.</t>
  </si>
  <si>
    <t xml:space="preserve">ATE-11</t>
  </si>
  <si>
    <t xml:space="preserve">Escuela de Formación Sindical Libertario Ferrari (campus virtual)</t>
  </si>
  <si>
    <t xml:space="preserve">Campus Moodle (14.834 usuarios, 12 cursos) de formación sindical para trabajadores y militantes de ATE/CTAA/CLATE. Requiere login, permite ingreso como invitado y pre-inscripción por formulario externo; tiene app móvil Moodle. Costo no informado.</t>
  </si>
  <si>
    <t xml:space="preserve">https://campus.escuelasindicalate.org/</t>
  </si>
  <si>
    <t xml:space="preserve">ATE-12</t>
  </si>
  <si>
    <t xml:space="preserve">IDEP - Instituto de Estudios y Formación</t>
  </si>
  <si>
    <t xml:space="preserve">Instituto de investigación y formación del gremio (estadísticas, política pública, salud laboral vía IDEP Salud). Produce informes y cursos; acceso abierto a contenidos.</t>
  </si>
  <si>
    <t xml:space="preserve">http://ate.org.ar/idep/</t>
  </si>
  <si>
    <t xml:space="preserve">Instituto de estudios: contenido enlazado.</t>
  </si>
  <si>
    <t xml:space="preserve">ATE-13</t>
  </si>
  <si>
    <t xml:space="preserve">ATE Cultura</t>
  </si>
  <si>
    <t xml:space="preserve">Sitio propio (cultura.ate.org.ar) con agenda de actividades culturales, talleres y producciones para afiliados. Participación presencial, difusión online.</t>
  </si>
  <si>
    <t xml:space="preserve">https://cultura.ate.org.ar/</t>
  </si>
  <si>
    <t xml:space="preserve">Agenda cultural: Novedades; inscripciones en P04.</t>
  </si>
  <si>
    <t xml:space="preserve">ATE-14</t>
  </si>
  <si>
    <t xml:space="preserve">Departamento de Discapacidad</t>
  </si>
  <si>
    <t xml:space="preserve">Área que asesora y acompaña a afiliados con discapacidad o familiares a cargo (derechos, trámites, inclusión laboral). Acceso vía seccional o contacto del departamento.</t>
  </si>
  <si>
    <t xml:space="preserve">https://ate.org.ar/departamento-de-discapacidad/</t>
  </si>
  <si>
    <t xml:space="preserve">Área de discapacidad: consulta por trámite al área.</t>
  </si>
  <si>
    <t xml:space="preserve">ATE-15</t>
  </si>
  <si>
    <t xml:space="preserve">Género y Diversidad / Derechos Humanos</t>
  </si>
  <si>
    <t xml:space="preserve">Departamentos con protocolos y acompañamiento ante violencia laboral, de género y vulneración de derechos. Contacto por seccional; materiales descargables en web.</t>
  </si>
  <si>
    <t xml:space="preserve">https://ate.org.ar/generoydiversidad/</t>
  </si>
  <si>
    <t xml:space="preserve">Género y DDHH: consulta confidencial por trámite (P10) y perfiles.</t>
  </si>
  <si>
    <t xml:space="preserve">ATE-16</t>
  </si>
  <si>
    <t xml:space="preserve">Centro Nacional de Jubilados y Pensionados</t>
  </si>
  <si>
    <t xml:space="preserve">Espacio para jubilados afiliados con asesoramiento previsional y actividades. Página institucional; gestión presencial.</t>
  </si>
  <si>
    <t xml:space="preserve">https://ate.org.ar/centro-nacional-de-jubilados-y-pensionados-de-ate/</t>
  </si>
  <si>
    <t xml:space="preserve">ATE-17</t>
  </si>
  <si>
    <t xml:space="preserve">Mapa interactivo de CDP y seccionales</t>
  </si>
  <si>
    <t xml:space="preserve">Mapa en la web para ubicar el Consejo Directivo Provincial o seccional más cercana con sus contactos, ya que casi todos los trámites se resuelven allí.</t>
  </si>
  <si>
    <t xml:space="preserve">https://ate.org.ar/cdp-seccionales/</t>
  </si>
  <si>
    <t xml:space="preserve">Mapa de seccionales (P28, ola 1).</t>
  </si>
  <si>
    <t xml:space="preserve">BANCARIA-1</t>
  </si>
  <si>
    <t xml:space="preserve">Afiliación online (pre-afiliación)</t>
  </si>
  <si>
    <t xml:space="preserve">Formulario web con nombre, apellido, banco, provincia, ciudad, mail y teléfono. El sindicato luego contacta al trabajador para formalizar la inscripción (firma presencial o por seccional). Dirigido a trabajadores bancarios no afiliados.</t>
  </si>
  <si>
    <t xml:space="preserve">https://labancaria.org/afiliate/</t>
  </si>
  <si>
    <t xml:space="preserve">Pre-afiliación → afiliación online (P08).</t>
  </si>
  <si>
    <t xml:space="preserve">BANCARIA-2</t>
  </si>
  <si>
    <t xml:space="preserve">Portal 'Tus Datos' (autogestión de afiliados)</t>
  </si>
  <si>
    <t xml:space="preserve">Subdominio tusdatos.bancaria.org.ar titulado 'Afiliaciones', enlazado desde la home. Aparenta ser el portal donde el afiliado se registra/actualiza sus datos personales. No pudo verificarse su funcionalidad completa (error de certificado al acceder).</t>
  </si>
  <si>
    <t xml:space="preserve">https://tusdatos.bancaria.org.ar/</t>
  </si>
  <si>
    <t xml:space="preserve">Autogestión de datos: perfil del trabajador.</t>
  </si>
  <si>
    <t xml:space="preserve">BANCARIA-3</t>
  </si>
  <si>
    <t xml:space="preserve">Buscador electoral 'Dónde voto'</t>
  </si>
  <si>
    <t xml:space="preserve">Sitio donde el afiliado consulta su lugar de votación en las elecciones internas del sindicato. Herramienta simple de consulta por datos personales.</t>
  </si>
  <si>
    <t xml:space="preserve">https://dondevoto.bancaria.org.ar/</t>
  </si>
  <si>
    <t xml:space="preserve">Dónde voto (P33, ola 2, esfuerzo bajo).</t>
  </si>
  <si>
    <t xml:space="preserve">BANCARIA-4</t>
  </si>
  <si>
    <t xml:space="preserve">Acuerdos salariales y actas</t>
  </si>
  <si>
    <t xml:space="preserve">Sección con las actas paritarias y acuerdos salariales publicados como noticias/PDF, organizados en 'Actas' y 'Otros acuerdos'. Sin buscador ni calculadora; el trabajador descarga el documento.</t>
  </si>
  <si>
    <t xml:space="preserve">Actas y acuerdos: Novedades y Fórmulas.</t>
  </si>
  <si>
    <t xml:space="preserve">BANCARIA-5</t>
  </si>
  <si>
    <t xml:space="preserve">Red de hoteles y departamentos de turismo</t>
  </si>
  <si>
    <t xml:space="preserve">Más de 15 alojamientos propios o en convenio (Hotel Mar del Plata, Altitud 720 Córdoba, Hotel Agada Trelew, Glaciares de la Patagonia, Hotel Buenos Aires, departamentos Limay, etc.) con promociones tipo 4x3. Cada destino tiene su ficha en la web; la reserva no es online, se gestiona vía la Secretaría de Acción Social, Turismo y Deportes / turismo.bancaria.org.ar / Instagram @turismobancaria.</t>
  </si>
  <si>
    <t xml:space="preserve">https://labancaria.org/project-type/turismo/</t>
  </si>
  <si>
    <t xml:space="preserve">BANCARIA-6</t>
  </si>
  <si>
    <t xml:space="preserve">Descuentos con agencias de viaje, alquiler de autos y comercios</t>
  </si>
  <si>
    <t xml:space="preserve">Convenios con Avis y Hertz (alquiler de autos), agencias de viaje, descuento en motos, Librería Hernández, Rutaatlántica (indumentaria) y supermercado Diarco. El afiliado accede mostrando su condición; en la web solo está la ficha del convenio.</t>
  </si>
  <si>
    <t xml:space="preserve">https://labancaria.org/beneficios/</t>
  </si>
  <si>
    <t xml:space="preserve">BANCARIA-7</t>
  </si>
  <si>
    <t xml:space="preserve">Convenio gimnasios Megatlon y deportes</t>
  </si>
  <si>
    <t xml:space="preserve">Descuento en cadena de gimnasios Megatlon para afiliadas/os, gestionado a través de la Secretaría de Acción Social, Turismo y Deportes (se difunde por Instagram de Turismo Bancaria). También actividades deportivas propias.</t>
  </si>
  <si>
    <t xml:space="preserve">Gimnasios: Beneficios.</t>
  </si>
  <si>
    <t xml:space="preserve">BANCARIA-8</t>
  </si>
  <si>
    <t xml:space="preserve">Cobertura de sepelio gratuita</t>
  </si>
  <si>
    <t xml:space="preserve">Servicio de sepelio sin costo para afiliados, prestado por la Compañía de Seguros El Surco. Se activa por teléfono con la aseguradora en el momento del fallecimiento.</t>
  </si>
  <si>
    <t xml:space="preserve">Sepelio: ficha de emergencias (P29).</t>
  </si>
  <si>
    <t xml:space="preserve">BANCARIA-9</t>
  </si>
  <si>
    <t xml:space="preserve">Asesoramiento jubilatorio y reafiliación de jubilados</t>
  </si>
  <si>
    <t xml:space="preserve">La Secretaría de Previsión asesora a quienes están por jubilarse ('¿Tenés pensando jubilarte? Te asesoramos') y promueve que el jubilado se reafilie para mantener beneficios. Atención por contacto con la secretaría (mail/teléfono/presencial).</t>
  </si>
  <si>
    <t xml:space="preserve">Asesoramiento jubilatorio: consulta por trámite; ruta jubilatoria (P13) y nivel jubilado (P03).</t>
  </si>
  <si>
    <t xml:space="preserve">BANCARIA-10</t>
  </si>
  <si>
    <t xml:space="preserve">Jardín materno-paternal</t>
  </si>
  <si>
    <t xml:space="preserve">Jardín para hijos de afiliados, gestionado por el sindicato. La web solo lo enuncia como beneficio; inscripción presencial.</t>
  </si>
  <si>
    <t xml:space="preserve">Jardín propio: infraestructura.</t>
  </si>
  <si>
    <t xml:space="preserve">BANCARIA-11</t>
  </si>
  <si>
    <t xml:space="preserve">Viaje de bodas en Tafí del Valle</t>
  </si>
  <si>
    <t xml:space="preserve">Paquete especial de luna de miel en el hotel Mirador del Tafí (Tucumán) para afiliados recién casados. Se solicita a través del área de turismo.</t>
  </si>
  <si>
    <t xml:space="preserve">BANCARIA-12</t>
  </si>
  <si>
    <t xml:space="preserve">Cursos bimestrales de Bancar y programa 'Activos y conectados'</t>
  </si>
  <si>
    <t xml:space="preserve">Cursos de formación continua para afiliados (Bancar) y cursos de alfabetización digital para adultos mayores/jubilados ('Activos y conectados'). Inscripción anunciada por la web y redes; cursada presencial o virtual según edición.</t>
  </si>
  <si>
    <t xml:space="preserve">Cursos: P22.</t>
  </si>
  <si>
    <t xml:space="preserve">BANCARIA-13</t>
  </si>
  <si>
    <t xml:space="preserve">Radio 'Intereses Colectivos' y síntesis de prensa</t>
  </si>
  <si>
    <t xml:space="preserve">Programa de radio propio, síntesis de prensa diaria y repositorio de Derechos Humanos publicados en la web, más comunicados por secretaría. Comunicación unidireccional.</t>
  </si>
  <si>
    <t xml:space="preserve">Radio y síntesis de prensa.</t>
  </si>
  <si>
    <t xml:space="preserve">BANCARIA-14</t>
  </si>
  <si>
    <t xml:space="preserve">Observatorio de deudores (tablero BCRA)</t>
  </si>
  <si>
    <t xml:space="preserve">Página 'Deudores' con un tablero interactivo con datos de la Central de Deudores del BCRA (deuda total por provincia, edad, género, acreedor), con acceso protegido por contraseña. Es una herramienta de análisis/gremial, no un servicio directo al afiliado deudor; ambiguo si está pensado para asesorar a trabajadores endeudados.</t>
  </si>
  <si>
    <t xml:space="preserve">https://labancaria.org/deudores/</t>
  </si>
  <si>
    <t xml:space="preserve">Observatorio del rubro en el Panel (P25, ola 2).</t>
  </si>
  <si>
    <t xml:space="preserve">COMERCIO-1</t>
  </si>
  <si>
    <t xml:space="preserve">Portal de beneficios con registro (SEC)</t>
  </si>
  <si>
    <t xml:space="preserve">Plataforma web donde el afiliado se registra (Account/Register) y accede a descuentos, reservas y credencial. Concentra turismo, cultura, deportes, mutual, familia y educación en un solo lugar con categorías (Salud, Educación, Recreación, Familia, Otros).</t>
  </si>
  <si>
    <t xml:space="preserve">https://beneficios.sec.org.ar/</t>
  </si>
  <si>
    <t xml:space="preserve">App del trabajador con beneficios, credencial y trámites; reservas de clubes en P20.</t>
  </si>
  <si>
    <t xml:space="preserve">COMERCIO-2</t>
  </si>
  <si>
    <t xml:space="preserve">Credencial digital y física (SEC)</t>
  </si>
  <si>
    <t xml:space="preserve">Desde el portal de beneficios el afiliado dispone de credencial digital además de la física, para acreditar afiliación en clubes, comercios adheridos y actividades.</t>
  </si>
  <si>
    <t xml:space="preserve">Credencial digital.</t>
  </si>
  <si>
    <t xml:space="preserve">COMERCIO-3</t>
  </si>
  <si>
    <t xml:space="preserve">Tarjeta 365 + SEC (descuentos comerciales)</t>
  </si>
  <si>
    <t xml:space="preserve">Tarjeta de descuentos en comercios adheridos vinculada a la afiliación; se gestiona desde el portal de beneficios. Convenio con Club 365 (Clarín) para descuentos multirubro.</t>
  </si>
  <si>
    <t xml:space="preserve">Tarjeta de descuentos: Beneficios; uso en P19.</t>
  </si>
  <si>
    <t xml:space="preserve">COMERCIO-4</t>
  </si>
  <si>
    <t xml:space="preserve">Reservas online en clubes recreativos (SEC)</t>
  </si>
  <si>
    <t xml:space="preserve">El afiliado registrado reserva online el ingreso a Parque Norte, Club Recreativo Ezeiza y Mercotel. Incluye actividades deportivas, gimnasio/ateneo y natatorio.</t>
  </si>
  <si>
    <t xml:space="preserve">COMERCIO-5</t>
  </si>
  <si>
    <t xml:space="preserve">Teatro Carella - entradas sin cargo (SEC)</t>
  </si>
  <si>
    <t xml:space="preserve">Entradas gratuitas para afiliados en el teatro propio del sindicato; se consultan funciones y se solicitan desde el portal de beneficios.</t>
  </si>
  <si>
    <t xml:space="preserve">Entradas de teatro: voucher (P02).</t>
  </si>
  <si>
    <t xml:space="preserve">COMERCIO-6</t>
  </si>
  <si>
    <t xml:space="preserve">Turismo y viajes (SEC)</t>
  </si>
  <si>
    <t xml:space="preserve">Programas vacacionales y viajes grupales (ej. Tierra Santa), viajes de bodas y turismo nacional para afiliados, gestionados por la Secretaría de Turismo. Se consulta en el portal de beneficios y se cierra con contacto directo.</t>
  </si>
  <si>
    <t xml:space="preserve">https://www.sec.org.ar/secretarias.php</t>
  </si>
  <si>
    <t xml:space="preserve">COMERCIO-7</t>
  </si>
  <si>
    <t xml:space="preserve">Hoteles FAECYS (CABA, Mar del Plata, Uspallata)</t>
  </si>
  <si>
    <t xml:space="preserve">Red de hoteles propios de la Federación: 4 en CABA (Las Provincias, Grand Hotel, Escorial, 26 de Septiembre), Riviera en Mar del Plata y Hotel/Hostel/SPA Uspallata en Mendoza. Existe un formulario web 'Solicitud de reserva FAECYS'; tarifas y condiciones no se publican.</t>
  </si>
  <si>
    <t xml:space="preserve">https://www.faecys.org.ar/secretaria-de-turismo</t>
  </si>
  <si>
    <t xml:space="preserve">COMERCIO-8</t>
  </si>
  <si>
    <t xml:space="preserve">Escalas y acuerdos salariales CCT 130/75</t>
  </si>
  <si>
    <t xml:space="preserve">Publicación de acuerdos paritarios, escalas salariales y homologaciones (SEC: histórico 2018-2026; FAECYS: escalas y CCT de Turismo, Cereales, Puertos, Agua Potable). Se descargan como documentos, sin buscador ni calculadora.</t>
  </si>
  <si>
    <t xml:space="preserve">https://www.sec.org.ar/</t>
  </si>
  <si>
    <t xml:space="preserve">Escalas CCT 130/75: Fórmulas + Novedades; buscador en P14.</t>
  </si>
  <si>
    <t xml:space="preserve">COMERCIO-9</t>
  </si>
  <si>
    <t xml:space="preserve">Denuncias laborales por formulario web (SEC)</t>
  </si>
  <si>
    <t xml:space="preserve">Formularios en la web para denunciar trabajo no registrado, horas extra impagas, adicional cajero no abonado, encuadramiento incorrecto, y otro formulario específico para higiene y seguridad (falta de EPP, riesgos). La Secretaría Gremial toma la denuncia y la gestiona; alternativa presencial en Moreno 625 de 10 a 18.</t>
  </si>
  <si>
    <t xml:space="preserve">P10, P30</t>
  </si>
  <si>
    <t xml:space="preserve">Denuncias tipificadas: trámites con formularios hoy; desde la discrepancia en P10.</t>
  </si>
  <si>
    <t xml:space="preserve">COMERCIO-10</t>
  </si>
  <si>
    <t xml:space="preserve">Asesoramiento gremial y jurídico por WhatsApp (SEC)</t>
  </si>
  <si>
    <t xml:space="preserve">Línea WhatsApp 11-3682-6116 y 0800-345-1120 para consultas gremiales, jurídicas, de encuadramiento y de acoso/violencia laboral. Primer contacto remoto, seguimiento presencial.</t>
  </si>
  <si>
    <t xml:space="preserve">Asesoramiento por WhatsApp: trámites/consultas hoy; WhatsApp en P17.</t>
  </si>
  <si>
    <t xml:space="preserve">COMERCIO-11</t>
  </si>
  <si>
    <t xml:space="preserve">Asesoramiento previsional / jubilatorio</t>
  </si>
  <si>
    <t xml:space="preserve">Secretaría de Previsión (SEC) y Secretaría de Previsión Social (FAECYS) asesoran sobre jubilaciones y pensiones. Acceso por teléfono, mail (prevsocial@faecys.org.ar) o presencial.</t>
  </si>
  <si>
    <t xml:space="preserve">https://www.faecys.org.ar/secretarias/</t>
  </si>
  <si>
    <t xml:space="preserve">Asesoramiento previsional: consulta por trámite; P13 después.</t>
  </si>
  <si>
    <t xml:space="preserve">COMERCIO-12</t>
  </si>
  <si>
    <t xml:space="preserve">Campus FAECYS - capacitación virtual</t>
  </si>
  <si>
    <t xml:space="preserve">Plataforma de cursos (red.campusfaecys.org) con capacitaciones laborales y gremiales para trabajadores de comercio. No se pudo abrir el campus (timeout) para confirmar oferta, costo y modo de inscripción.</t>
  </si>
  <si>
    <t xml:space="preserve">COMERCIO-13</t>
  </si>
  <si>
    <t xml:space="preserve">Cursos y secundario para adultos (SEC)</t>
  </si>
  <si>
    <t xml:space="preserve">Cursos de capacitación y programa de terminalidad de secundario para adultos, listados en la categoría Educación del portal de beneficios. Inscripción se inicia en el portal.</t>
  </si>
  <si>
    <t xml:space="preserve">Cursos y secundario: P22.</t>
  </si>
  <si>
    <t xml:space="preserve">COMERCIO-14</t>
  </si>
  <si>
    <t xml:space="preserve">Pañales gratis y vuelta al cole (SEC)</t>
  </si>
  <si>
    <t xml:space="preserve">Beneficios de familia: entrega de pañales sin cargo para hijos de afiliados y kit/ayuda de vuelta al cole. Se informan en el portal; retiro presencial.</t>
  </si>
  <si>
    <t xml:space="preserve">Pañales y vuelta al cole: campañas (P04).</t>
  </si>
  <si>
    <t xml:space="preserve">COMERCIO-15</t>
  </si>
  <si>
    <t xml:space="preserve">Sepelio gratuito (SEC)</t>
  </si>
  <si>
    <t xml:space="preserve">Servicio de sepelio sin cargo para afiliados, listado en 'Otros' del portal de beneficios. Gestión presencial/telefónica al momento del hecho.</t>
  </si>
  <si>
    <t xml:space="preserve">COMERCIO-16</t>
  </si>
  <si>
    <t xml:space="preserve">Trámite de DNI/pasaporte en sede (SEC)</t>
  </si>
  <si>
    <t xml:space="preserve">Punto de gestión de DNI y pasaporte para afiliados (convenio con RENAPER) listado entre los beneficios; se realiza presencialmente.</t>
  </si>
  <si>
    <t xml:space="preserve">COMERCIO-17</t>
  </si>
  <si>
    <t xml:space="preserve">Descuento en gimnasios MEGATLON y óptica/ortodoncia (SEC)</t>
  </si>
  <si>
    <t xml:space="preserve">Convenios comerciales con Megatlon (fitness), ópticas y ortodoncia con descuento para afiliados, acreditando con credencial. Listados en el portal.</t>
  </si>
  <si>
    <t xml:space="preserve">COMERCIO-18</t>
  </si>
  <si>
    <t xml:space="preserve">Actividades y almuerzo para jubilados (SEC)</t>
  </si>
  <si>
    <t xml:space="preserve">Programa para jubilados afiliados (cuota solidaria reducida) con almuerzos y actividades recreativas. Difusión en portal, participación presencial.</t>
  </si>
  <si>
    <t xml:space="preserve">Actividades para jubilados: nivel jubilado (P03) e inscripciones (P04).</t>
  </si>
  <si>
    <t xml:space="preserve">COMERCIO-19</t>
  </si>
  <si>
    <t xml:space="preserve">Boletines e informes de canasta básica (FAECYS)</t>
  </si>
  <si>
    <t xml:space="preserve">Secretaría de Estudios y Estadísticas publica boletines digitales e informes de canasta básica para sustentar paritarias; contenido abierto a cualquier lector.</t>
  </si>
  <si>
    <t xml:space="preserve">Observatorio e indicadores de plataforma (P25, ola 2).</t>
  </si>
  <si>
    <t xml:space="preserve">COMERCIO-20</t>
  </si>
  <si>
    <t xml:space="preserve">Portal de aportes para empresas (SEC)</t>
  </si>
  <si>
    <t xml:space="preserve">Autogestión para empleadores: declaración y pago de aportes sindicales, con mesa de ayuda 0810-345-0097. No es para afiliados pero es parte del ecosistema digital del sindicato.</t>
  </si>
  <si>
    <t xml:space="preserve">https://aportes.sec.org.ar</t>
  </si>
  <si>
    <t xml:space="preserve">FGB-1</t>
  </si>
  <si>
    <t xml:space="preserve">Consulta de padrón online</t>
  </si>
  <si>
    <t xml:space="preserve">Aplicación web (intranetfgb) donde se consulta si un trabajador figura en el padrón de afiliados. Sirve al afiliado y a empleadores para verificar la condición gremial sin ir a la sede.</t>
  </si>
  <si>
    <t xml:space="preserve">http://www.intranetfgb.com.ar/enlanube/consultaPadron/consultaPadronMain.action</t>
  </si>
  <si>
    <t xml:space="preserve">P08, P09</t>
  </si>
  <si>
    <t xml:space="preserve">Consulta de padrón y constancia con QR (P09, ola 1).</t>
  </si>
  <si>
    <t xml:space="preserve">FGB-2</t>
  </si>
  <si>
    <t xml:space="preserve">Escalas salariales trimestrales y convenio</t>
  </si>
  <si>
    <t xml:space="preserve">Publicación de cada escala salarial por trimestre (histórico desde 2011), el CCT y los acuerdos, como páginas/PDF descargables. Sin buscador ni calculadora.</t>
  </si>
  <si>
    <t xml:space="preserve">https://fgb.org.ar/escala-julio-septiembre-2026/</t>
  </si>
  <si>
    <t xml:space="preserve">Escalas trimestrales: Fórmulas con vigencia + Novedades.</t>
  </si>
  <si>
    <t xml:space="preserve">FGB-3</t>
  </si>
  <si>
    <t xml:space="preserve">Sistema de Gestión Sindical para empleadores</t>
  </si>
  <si>
    <t xml:space="preserve">Extranet donde las empresas gráficas declaran y pagan aportes (incluida la cuota del SAC), con página de soporte técnico. Dirigido a empleadores, no al afiliado.</t>
  </si>
  <si>
    <t xml:space="preserve">http://www.extranetfgb.com.ar/graficas/</t>
  </si>
  <si>
    <t xml:space="preserve">Extranet de empleadores: P15.</t>
  </si>
  <si>
    <t xml:space="preserve">FGB-4</t>
  </si>
  <si>
    <t xml:space="preserve">Asesoría jurídica</t>
  </si>
  <si>
    <t xml:space="preserve">Atención legal gratuita para afiliados en la Sede Central, lunes a viernes de 16 a 18:30. Sin turno online ni canal remoto.</t>
  </si>
  <si>
    <t xml:space="preserve">https://fgb.org.ar/beneficios/</t>
  </si>
  <si>
    <t xml:space="preserve">Asesoría jurídica: consulta por trámite; turnos en P12.</t>
  </si>
  <si>
    <t xml:space="preserve">FGB-5</t>
  </si>
  <si>
    <t xml:space="preserve">Asesoría gremial</t>
  </si>
  <si>
    <t xml:space="preserve">Orientación sobre cuestiones laborales y gremiales en las sedes (Casa Central y zonales Lomas, Don Torcuato, Morón, San Justo).</t>
  </si>
  <si>
    <t xml:space="preserve">Asesoría gremial: consulta por trámite.</t>
  </si>
  <si>
    <t xml:space="preserve">FGB-6</t>
  </si>
  <si>
    <t xml:space="preserve">Cobertura de seguro de vida y sepelio para afiliados, enunciada como beneficio gremial. Trámite en Tesorería/sede.</t>
  </si>
  <si>
    <t xml:space="preserve">FGB-7</t>
  </si>
  <si>
    <t xml:space="preserve">Asignación por nacimiento</t>
  </si>
  <si>
    <t xml:space="preserve">Pago único ($2.500 según la web, monto probablemente desactualizado) a afiliados con OSPG, presentando recibo con descuento de cuota, credenciales y certificado de nacimiento dentro de los 90 días, en Tesorería de Sede Central.</t>
  </si>
  <si>
    <t xml:space="preserve">Asignación por nacimiento (P01).</t>
  </si>
  <si>
    <t xml:space="preserve">FGB-8</t>
  </si>
  <si>
    <t xml:space="preserve">Ayuda escolar</t>
  </si>
  <si>
    <t xml:space="preserve">Asistencia económica para gastos educativos de hijos de afiliados; se consulta y tramita en las sedes.</t>
  </si>
  <si>
    <t xml:space="preserve">Ayuda escolar: campaña (P04).</t>
  </si>
  <si>
    <t xml:space="preserve">FGB-9</t>
  </si>
  <si>
    <t xml:space="preserve">Hotel '13 de Noviembre' (Mar del Plata) y temporada de verano</t>
  </si>
  <si>
    <t xml:space="preserve">Hotel propio con desayuno; para la temporada 2026/27 el afiliado elige mes (dic/ene/feb) y paga en cuotas, con tarifas diferenciadas FGB+OSPG y FGB+OSPG+STB Mutual. Reserva por teléfono o mail a la Secretaría de Asistencia Social y Turismo.</t>
  </si>
  <si>
    <t xml:space="preserve">https://fgb.org.ar/temporada-de-verano-2026-2027/</t>
  </si>
  <si>
    <t xml:space="preserve">FGB-10</t>
  </si>
  <si>
    <t xml:space="preserve">Viajes de regalo (luna de miel, bodas de plata/oro, jubilados vitalicios)</t>
  </si>
  <si>
    <t xml:space="preserve">Estadía gratuita en el Hotel 13 de Noviembre entre mayo y noviembre para recién casados y parejas que cumplen bodas de plata/oro, y una semana gratis para jubilados con 30/50 años en el gremio. Se solicita presencialmente con credencial, DNI y recibo.</t>
  </si>
  <si>
    <t xml:space="preserve">Viajes de regalo por hitos: vouchers (P02).</t>
  </si>
  <si>
    <t xml:space="preserve">FGB-11</t>
  </si>
  <si>
    <t xml:space="preserve">Camping '7 de Mayo' (Claypole)</t>
  </si>
  <si>
    <t xml:space="preserve">Camping propio más convenios con otros campings; el ingreso requiere inscripción con Declaración Jurada descargable en PDF que se entrega en el camping/sede. Para afiliados y jubilados.</t>
  </si>
  <si>
    <t xml:space="preserve">https://fgb.org.ar/inscripcion-para-el-ingreso-al-camping-7-de-mayo/</t>
  </si>
  <si>
    <t xml:space="preserve">FGB-12</t>
  </si>
  <si>
    <t xml:space="preserve">Descuentos en pasajes</t>
  </si>
  <si>
    <t xml:space="preserve">Tarifas reducidas en pasajes de transporte gestionadas por la Secretaría de Asistencia Social (teléfono). Detalle de operadoras no publicado.</t>
  </si>
  <si>
    <t xml:space="preserve">Descuentos en pasajes: Beneficios.</t>
  </si>
  <si>
    <t xml:space="preserve">FGB-13</t>
  </si>
  <si>
    <t xml:space="preserve">Día de la Niñez (planilla)</t>
  </si>
  <si>
    <t xml:space="preserve">Entrega de regalos/festejo para hijos de afiliados; el padre completa una planilla en formato papel descargable de la web y la entrega en la sede.</t>
  </si>
  <si>
    <t xml:space="preserve">https://fgb.org.ar/planilla-dia-de-la-ninez-2026-formato-papel/</t>
  </si>
  <si>
    <t xml:space="preserve">Día de la Niñez: campaña (P04).</t>
  </si>
  <si>
    <t xml:space="preserve">FGB-14</t>
  </si>
  <si>
    <t xml:space="preserve">Cursos de formación profesional (CFP 33 y CFP Lomas)</t>
  </si>
  <si>
    <t xml:space="preserve">Centros de formación profesional propios con cursos de oficios gráficos y otros, abiertos a afiliados y familiares; el CFP 33 tiene sitio propio para ver la oferta e inscribirse.</t>
  </si>
  <si>
    <t xml:space="preserve">http://www.cfp33.com.ar/</t>
  </si>
  <si>
    <t xml:space="preserve">CFP: P22.</t>
  </si>
  <si>
    <t xml:space="preserve">FGB-15</t>
  </si>
  <si>
    <t xml:space="preserve">Deportes y grupo de pescadores</t>
  </si>
  <si>
    <t xml:space="preserve">Actividades deportivas y un grupo de pesca con calendario de salidas y contacto propio en la web.</t>
  </si>
  <si>
    <t xml:space="preserve">https://fgb.org.ar/actividades-pescadores/</t>
  </si>
  <si>
    <t xml:space="preserve">Deportes y pesca: inscripciones (P04).</t>
  </si>
  <si>
    <t xml:space="preserve">FGB-16</t>
  </si>
  <si>
    <t xml:space="preserve">Colectivo de Jubilados/as y Pensionadas</t>
  </si>
  <si>
    <t xml:space="preserve">Espacio propio en el 8° piso de la sede con teléfono dedicado; organiza almuerzos, días de campo, viajes (Mar del Plata, Termas de Federación), teatro y fiestas de fin de año, y da acceso al hotel y camping.</t>
  </si>
  <si>
    <t xml:space="preserve">https://fgb.org.ar/jubilados/</t>
  </si>
  <si>
    <t xml:space="preserve">Colectivo de jubilados: nivel jubilado (P03) y agenda (P04).</t>
  </si>
  <si>
    <t xml:space="preserve">FGB-17</t>
  </si>
  <si>
    <t xml:space="preserve">Áreas de Derechos Humanos y Género</t>
  </si>
  <si>
    <t xml:space="preserve">Secciones con contenidos, acompañamiento y actividades sobre derechos humanos y género para afiliados/as.</t>
  </si>
  <si>
    <t xml:space="preserve">https://fgb.org.ar/genero/</t>
  </si>
  <si>
    <t xml:space="preserve">DDHH y género: área y contenido.</t>
  </si>
  <si>
    <t xml:space="preserve">FGB-18</t>
  </si>
  <si>
    <t xml:space="preserve">Canal oficial de WhatsApp y revistas digitales</t>
  </si>
  <si>
    <t xml:space="preserve">Canal de difusión en WhatsApp, videos y revistas históricas digitalizadas (El Obrero Gráfico, CGT de los Argentinos) más memoria y balance publicados.</t>
  </si>
  <si>
    <t xml:space="preserve">P27, P33</t>
  </si>
  <si>
    <t xml:space="preserve">Canal de difusión: Notificaciones y Novedades; WhatsApp saliente en P27.</t>
  </si>
  <si>
    <t xml:space="preserve">FOETRA-1</t>
  </si>
  <si>
    <t xml:space="preserve">Préstamos personales por mail</t>
  </si>
  <si>
    <t xml:space="preserve">Préstamos personales para afiliados activos y convencionados: hasta $450.000 si aporta a FOETRA + OSPETELCO, $400.000 solo FOETRA y $350.000 convencionados no afiliados. El solicitante envía por mail a prestamos@foetrabsas.org.ar el último recibo, datos bancarios (CBU/alias/CUIL), datos personales y laborales y la cantidad de cuotas que propone; la transferencia demora hasta 10 días hábiles. Renovable con un solo préstamo vigente y el 50% pagado.</t>
  </si>
  <si>
    <t xml:space="preserve">https://www.foetra.org.ar/sitio/prestamos/</t>
  </si>
  <si>
    <t xml:space="preserve">P03, P06</t>
  </si>
  <si>
    <t xml:space="preserve">Préstamos con cuotas propuestas (P06, ola 2).</t>
  </si>
  <si>
    <t xml:space="preserve">FOETRA-2</t>
  </si>
  <si>
    <t xml:space="preserve">Subsidio por nacimiento y adopción</t>
  </si>
  <si>
    <t xml:space="preserve">$70.000 para afiliado ($55.000 para convencionado no afiliado), a pedir dentro de los 90 días del nacimiento/adopción enviando por mail a prestamos@ el último recibo, foto de DNI del titular y del hijo, partida de nacimiento y CBU. El banco informa la fecha de depósito en 24 hs.</t>
  </si>
  <si>
    <t xml:space="preserve">https://www.foetra.org.ar/sitio/subsidios/</t>
  </si>
  <si>
    <t xml:space="preserve">Subsidio por nacimiento con SLA (P01).</t>
  </si>
  <si>
    <t xml:space="preserve">FOETRA-3</t>
  </si>
  <si>
    <t xml:space="preserve">Subsidio por casamiento</t>
  </si>
  <si>
    <t xml:space="preserve">$75.000 para afiliado ($60.000 convencionado no afiliado), dentro de los 30 días de la celebración, enviando por mail último recibo, DNI, acta o libreta de matrimonio y CBU. Depósito notificado en 24 hs.</t>
  </si>
  <si>
    <t xml:space="preserve">FOETRA-4</t>
  </si>
  <si>
    <t xml:space="preserve">Servicio de sepelio 100% cubierto</t>
  </si>
  <si>
    <t xml:space="preserve">Servicio fúnebre gratuito para afiliado, convencionado y grupo familiar primario a cargo, prestado por la Cochería Casa Scavo, que se contacta directamente las 24 hs por teléfono y realiza las gestiones en zonas cercanas al domicilio.</t>
  </si>
  <si>
    <t xml:space="preserve">FOETRA-5</t>
  </si>
  <si>
    <t xml:space="preserve">Turismo con precios preferenciales</t>
  </si>
  <si>
    <t xml:space="preserve">Plazas turísticas a precio preferencial para afiliados en Mar del Plata, Partido de la Costa, Buenos Aires, Córdoba, Norte Grande, Bariloche, Misiones/litoral, Mendoza y paquetes de viaje; hay tarifario de temporada publicado (Verano 2025-2026). La contratación se hace enviando mail a turismo@foetrabsas.org.ar.</t>
  </si>
  <si>
    <t xml:space="preserve">https://www.foetra.org.ar/sitio/turismo/</t>
  </si>
  <si>
    <t xml:space="preserve">FOETRA-6</t>
  </si>
  <si>
    <t xml:space="preserve">Hotel propio en Ciudad de Buenos Aires</t>
  </si>
  <si>
    <t xml:space="preserve">Hotel del sindicato en CABA para familias telefónicas de todo el país (listado en 'Obras para familias telefónicas'), con reservas a través del área de turismo por mail.</t>
  </si>
  <si>
    <t xml:space="preserve">https://www.foetra.org.ar/sitio/hotel-en-buenos-aires/</t>
  </si>
  <si>
    <t xml:space="preserve">FOETRA-7</t>
  </si>
  <si>
    <t xml:space="preserve">Polideportivo Calfucurá y Club Teléfonos</t>
  </si>
  <si>
    <t xml:space="preserve">Polideportivo propio y club social-deportivo para afiliados y familias, con actividades deportivas y recreativas. Uso presencial; la web solo describe las instalaciones.</t>
  </si>
  <si>
    <t xml:space="preserve">https://www.foetra.org.ar/sitio/polideportivo-calfucura/</t>
  </si>
  <si>
    <t xml:space="preserve">FOETRA-8</t>
  </si>
  <si>
    <t xml:space="preserve">Salón de eventos</t>
  </si>
  <si>
    <t xml:space="preserve">Salón de eventos del sindicato disponible para afiliados (fiestas familiares). La reserva se coordina con el sindicato; no se detalla canal online.</t>
  </si>
  <si>
    <t xml:space="preserve">https://www.foetra.org.ar/sitio/salon-de-eventos/</t>
  </si>
  <si>
    <t xml:space="preserve">FOETRA-9</t>
  </si>
  <si>
    <t xml:space="preserve">Talleres culturales gratuitos con inscripción por formulario digital</t>
  </si>
  <si>
    <t xml:space="preserve">Talleres gratuitos de folklore, coro, fotografía, teatro, canto y guitarra y percusión en la sede central y Morón, abiertos a telefónicos, convencionados, familiares directos y afiliados a RADAR. La inscripción se hace con un Google Form publicado en la web; consultas a culturaycapacitacion@foetrabsas.org.ar.</t>
  </si>
  <si>
    <t xml:space="preserve">https://www.foetra.org.ar/sitio/inscribite-a-traves-del-formulario-digital/</t>
  </si>
  <si>
    <t xml:space="preserve">Talleres con inscripción digital: campañas (P04, ola 1).</t>
  </si>
  <si>
    <t xml:space="preserve">FOETRA-10</t>
  </si>
  <si>
    <t xml:space="preserve">IDETEL – formación profesional (CFP 22 y CFL 408)</t>
  </si>
  <si>
    <t xml:space="preserve">Instituto de Educación Telefónica con dos centros de formación profesional oficiales (CFP 22 en CABA y CFL 408 en Morón) que dictan cursos técnicos de telecomunicaciones y oficios con certificación oficial, con portal propio idetel.org.ar donde se publican las inscripciones. Cursada presencial.</t>
  </si>
  <si>
    <t xml:space="preserve">https://www.foetra.org.ar/sitio/idetel/</t>
  </si>
  <si>
    <t xml:space="preserve">Instituto con centros oficiales: Capacitación (P22).</t>
  </si>
  <si>
    <t xml:space="preserve">FOETRA-11</t>
  </si>
  <si>
    <t xml:space="preserve">Asistencia legal a afiliados</t>
  </si>
  <si>
    <t xml:space="preserve">Asesoramiento en leyes y derechos laborales y legislación para personal técnico, con enlaces de interés en la web. El acceso es por teléfono o en la sede central (Hipólito Yrigoyen 3171); no se publican horarios ni turnos online.</t>
  </si>
  <si>
    <t xml:space="preserve">https://www.foetra.org.ar/sitio/asistencia-legal/</t>
  </si>
  <si>
    <t xml:space="preserve">FOETRA-12</t>
  </si>
  <si>
    <t xml:space="preserve">Plan Solidario Jubilados/as y Secretaría de Jubilados</t>
  </si>
  <si>
    <t xml:space="preserve">Plan solidario para jubilados de las telecomunicaciones y secretaría específica que atiende a los pasivos, complementado por el Fondo Compensador telefónico (entidad externa que paga complemento jubilatorio). Gestión presencial/telefónica.</t>
  </si>
  <si>
    <t xml:space="preserve">https://www.foetra.org.ar/sitio/plan-solidario-jubilados-as-de-las-telecomunicaciones/</t>
  </si>
  <si>
    <t xml:space="preserve">Plan de jubilados: nivel jubilado (P03); fondo compensador queda fuera.</t>
  </si>
  <si>
    <t xml:space="preserve">FOETRA-13</t>
  </si>
  <si>
    <t xml:space="preserve">Viviendas FOETRA</t>
  </si>
  <si>
    <t xml:space="preserve">Programa de viviendas del sindicato para familias telefónicas (listado en 'Obras para familias telefónicas'). La web solo lo enumera; adjudicación y requisitos no detallados.</t>
  </si>
  <si>
    <t xml:space="preserve">https://www.foetra.org.ar/sitio/viviendas-foetra/</t>
  </si>
  <si>
    <t xml:space="preserve">Viviendas.</t>
  </si>
  <si>
    <t xml:space="preserve">FOETRA-14</t>
  </si>
  <si>
    <t xml:space="preserve">Escalas salariales, PPP y Tasa Teco</t>
  </si>
  <si>
    <t xml:space="preserve">Publicación de escalas salariales del CCT telefónico y una sección específica sobre el Programa de Propiedad Participada (PPP) y la 'Tasa Teco', temas propios del sector ex-ENTel. Consulta pública sin login.</t>
  </si>
  <si>
    <t xml:space="preserve">https://www.foetra.org.ar/sitio/escalas-salariales/</t>
  </si>
  <si>
    <t xml:space="preserve">Escalas y PPP: Novedades y Fórmulas.</t>
  </si>
  <si>
    <t xml:space="preserve">FOETRA-15</t>
  </si>
  <si>
    <t xml:space="preserve">Secretarías temáticas (Género, DDHH, Salud laboral, Nuevas Tecnologías, Investigación)</t>
  </si>
  <si>
    <t xml:space="preserve">Estructura de secretarías con páginas propias que canalizan consultas y programas (protocolo de género, salud y seguridad laboral, novedades tecnológicas del sector, estadísticas). Acceso presencial/telefónico; la web informa y difunde.</t>
  </si>
  <si>
    <t xml:space="preserve">https://www.foetra.org.ar/sitio/secretarias/secretaria-de-genero/</t>
  </si>
  <si>
    <t xml:space="preserve">Secretarías temáticas: consultas por área vía trámites y perfiles.</t>
  </si>
  <si>
    <t xml:space="preserve">FOETRA-16</t>
  </si>
  <si>
    <t xml:space="preserve">Beneficios extendidos a convencionados no afiliados</t>
  </si>
  <si>
    <t xml:space="preserve">FOETRA otorga subsidios (nacimiento, casamiento) y préstamos también a 'convencionados no afiliados' con montos menores (ej. $55.000 vs $70.000; préstamo $350.000 vs $450.000), como incentivo diferenciado a la afiliación. Mismo canal por mail.</t>
  </si>
  <si>
    <t xml:space="preserve">Niveles de vínculo con montos diferenciados (P03, ola 1).</t>
  </si>
  <si>
    <t xml:space="preserve">SADOP-1</t>
  </si>
  <si>
    <t xml:space="preserve">Afiliación online ('¿Querés afiliarte?')</t>
  </si>
  <si>
    <t xml:space="preserve">Botón destacado en la home que lleva a un formulario de afiliación (sadop.net/afiliate). El docente carga sus datos y la seccional correspondiente contacta para completar el trámite; no se pudo verificar si el alta se cierra 100% online.</t>
  </si>
  <si>
    <t xml:space="preserve">https://sadop.net/afiliate/</t>
  </si>
  <si>
    <t xml:space="preserve">SADOP-2</t>
  </si>
  <si>
    <t xml:space="preserve">App SADOP DIGITAL con credencial digital</t>
  </si>
  <si>
    <t xml:space="preserve">App Android para afiliados: muestra la credencial sindical digital (reemplaza el carnet físico), lista de beneficios, buscador de delegaciones cercanas y contacto directo. Acceso inicial con DNI como usuario y contraseña; el afiliado luego cambia sus datos. Soporte por mail app@sadop.edu.ar.</t>
  </si>
  <si>
    <t xml:space="preserve">https://play.google.com/store/apps/details?id=edu.ar.sadop.app</t>
  </si>
  <si>
    <t xml:space="preserve">Credencial digital, beneficios y buscador de sedes (P28).</t>
  </si>
  <si>
    <t xml:space="preserve">SADOP-3</t>
  </si>
  <si>
    <t xml:space="preserve">Plataforma web para que los colegios/institutos privados declaren y paguen los aportes sindicales retenidos a los docentes afiliados. Replicado en todas las seccionales (sadop.net/sistema-de-aportes-en-linea). Dirigido al empleador, no al afiliado.</t>
  </si>
  <si>
    <t xml:space="preserve">https://sadop.net/sistema-de-aportes-en-linea/</t>
  </si>
  <si>
    <t xml:space="preserve">Aportes en línea para empleadores (P15, ola 2).</t>
  </si>
  <si>
    <t xml:space="preserve">SADOP-4</t>
  </si>
  <si>
    <t xml:space="preserve">Buscador de seccionales y delegaciones</t>
  </si>
  <si>
    <t xml:space="preserve">Herramienta en la home para encontrar la oficina/delegación más cercana al docente; también integrada en la app.</t>
  </si>
  <si>
    <t xml:space="preserve">Buscador de seccionales (P28, ola 1).</t>
  </si>
  <si>
    <t xml:space="preserve">SADOP-5</t>
  </si>
  <si>
    <t xml:space="preserve">Radio SADOP en vivo</t>
  </si>
  <si>
    <t xml:space="preserve">Streaming de radio propia accesible desde la home ('RADIO SADOP en VIVO'), canal de comunicación gremial permanente.</t>
  </si>
  <si>
    <t xml:space="preserve">Radio en vivo.</t>
  </si>
  <si>
    <t xml:space="preserve">SADOP-6</t>
  </si>
  <si>
    <t xml:space="preserve">Formulario de consultas 'Comunicate'</t>
  </si>
  <si>
    <t xml:space="preserve">Formulario web de contacto para cualquier consulta del docente (gremial, afiliación, beneficios); respuesta por mail/teléfono.</t>
  </si>
  <si>
    <t xml:space="preserve">Formulario de consultas: trámites.</t>
  </si>
  <si>
    <t xml:space="preserve">SADOP-7</t>
  </si>
  <si>
    <t xml:space="preserve">Turismo (destinos y ofertas)</t>
  </si>
  <si>
    <t xml:space="preserve">Sección de turismo con destinos y ofertas vacacionales para afiliados y familia; en la seccional Capital se gestiona por mail (accionsocial@sadopcapital.org / turismo@sadopcapital.org) consultando disponibilidad. Sin reserva online detectada.</t>
  </si>
  <si>
    <t xml:space="preserve">https://sadop.net/tag/turismo/</t>
  </si>
  <si>
    <t xml:space="preserve">SADOP-8</t>
  </si>
  <si>
    <t xml:space="preserve">Hotel SADOP (proyecto propio)</t>
  </si>
  <si>
    <t xml:space="preserve">Construcción de un hotel propio para docentes privados, promocionado en la home como proyecto gremial. Aún en obra según las notas; no hay reserva.</t>
  </si>
  <si>
    <t xml:space="preserve">https://sadop.net/2021/08/12/hotel-sadop-una-realidad-palpable-2/</t>
  </si>
  <si>
    <t xml:space="preserve">Hotel en construcción.</t>
  </si>
  <si>
    <t xml:space="preserve">SADOP-9</t>
  </si>
  <si>
    <t xml:space="preserve">Materiales didácticos y protocolos</t>
  </si>
  <si>
    <t xml:space="preserve">Descarga de materiales didácticos para el aula (Malvinas, 24 de marzo, etc.) y protocolos (emergencias sanitarias) pensados como recurso profesional para el docente. Servicio de contenido, abierto a cualquier visitante.</t>
  </si>
  <si>
    <t xml:space="preserve">Materiales abiertos para no afiliados (P18).</t>
  </si>
  <si>
    <t xml:space="preserve">SADOP-10</t>
  </si>
  <si>
    <t xml:space="preserve">Regalo de matrimonio (noche de bodas)</t>
  </si>
  <si>
    <t xml:space="preserve">Libro de beneficios (seccional Capital): el sindicato paga la noche de bodas en distintos hoteles/destinos. Se acredita con estado civil actualizado en la sede.</t>
  </si>
  <si>
    <t xml:space="preserve">https://sadop.net/extras/LIBRO%20BENEFICIOS.pdf</t>
  </si>
  <si>
    <t xml:space="preserve">Noche de bodas: voucher (P02).</t>
  </si>
  <si>
    <t xml:space="preserve">SADOP-11</t>
  </si>
  <si>
    <t xml:space="preserve">Bodas de plata</t>
  </si>
  <si>
    <t xml:space="preserve">Experiencia/regalo para afiliados que cumplen 25 años de matrimonio; se acredita la antigüedad matrimonial en la sede.</t>
  </si>
  <si>
    <t xml:space="preserve">Bodas de plata: voucher (P02).</t>
  </si>
  <si>
    <t xml:space="preserve">SADOP-12</t>
  </si>
  <si>
    <t xml:space="preserve">Kit escolar anual</t>
  </si>
  <si>
    <t xml:space="preserve">Bolsa de útiles por cada hijo en edad escolar (inicial a secundario); se presenta filiación y certificado de escolaridad en sede.</t>
  </si>
  <si>
    <t xml:space="preserve">SADOP-13</t>
  </si>
  <si>
    <t xml:space="preserve">Kit de nacimiento/adopción</t>
  </si>
  <si>
    <t xml:space="preserve">Kit para bebé (bolso, cochecito) o entradas a Mundo Marino al presentar acta de nacimiento o adopción.</t>
  </si>
  <si>
    <t xml:space="preserve">Kit de nacimiento o entradas: subsidio con opción (P01/P02).</t>
  </si>
  <si>
    <t xml:space="preserve">SADOP-14</t>
  </si>
  <si>
    <t xml:space="preserve">Viaje por jubilación</t>
  </si>
  <si>
    <t xml:space="preserve">Al jubilarse, el afiliado recibe un viaje para dos personas a un destino nacional. Se tramita enviando la documentación jubilatoria por mail (accionsocial@sadopcapital.org).</t>
  </si>
  <si>
    <t xml:space="preserve">Viaje por jubilación: voucher (P02).</t>
  </si>
  <si>
    <t xml:space="preserve">SADOP-15</t>
  </si>
  <si>
    <t xml:space="preserve">Becas y medias becas UMET</t>
  </si>
  <si>
    <t xml:space="preserve">Becas y medias becas en la Universidad Metropolitana para la Educación y el Trabajo para afiliados e hijos; se solicitan directamente en la universidad acreditando afiliación.</t>
  </si>
  <si>
    <t xml:space="preserve">Becas UMET: constancia de afiliado con QR (P09).</t>
  </si>
  <si>
    <t xml:space="preserve">SADOP-16</t>
  </si>
  <si>
    <t xml:space="preserve">Recreo Tigre (El Alcázar)</t>
  </si>
  <si>
    <t xml:space="preserve">Día de descanso en el recreo El Alcázar (Tigre); las entradas se piden por mail a turismo@sadopcapital.org.</t>
  </si>
  <si>
    <t xml:space="preserve">SADOP-17</t>
  </si>
  <si>
    <t xml:space="preserve">Descuentos culturales y en librerías</t>
  </si>
  <si>
    <t xml:space="preserve">2x1 en Centro Cultural Caras y Caretas (Fundación Octubre) y 10-25% en librerías (Antígona, Patria Grande, Corregidor, Fabro) presentando el carnet sindical; propuestas culturales y talleres en sede.</t>
  </si>
  <si>
    <t xml:space="preserve">Descuentos culturales: Beneficios.</t>
  </si>
  <si>
    <t xml:space="preserve">SIPREBA-1</t>
  </si>
  <si>
    <t xml:space="preserve">Afiliación online (Jotform) con cuota diferenciada para freelance</t>
  </si>
  <si>
    <t xml:space="preserve">El trabajador completa un formulario digital (Jotform), adjunta prueba de trabajo en prensa de los últimos 6 meses (recibo, factura de monotributo, notas firmadas, materiales con crédito) y envía foto 4x4 por mail para la credencial. Admite freelancers, colaboradores y medios autogestivos: los de dependencia pagan 1% del bruto por descuento en recibo; monotributistas/freelance pagan 2% del salario de Cronista del CCT 301/75 vía débito automático (requiere CBU). Alternativa: ficha PDF presentada en sede o por correo.</t>
  </si>
  <si>
    <t xml:space="preserve">https://www.sipreba.org/afiliacion-al-sipreba/</t>
  </si>
  <si>
    <t xml:space="preserve">P03, P08</t>
  </si>
  <si>
    <t xml:space="preserve">Afiliación online (P08) con nivel monotributista/freelance (P03).</t>
  </si>
  <si>
    <t xml:space="preserve">SIPREBA-2</t>
  </si>
  <si>
    <t xml:space="preserve">Afiliación por convenio con asociaciones profesionales</t>
  </si>
  <si>
    <t xml:space="preserve">Miembros de aRGra (reporteros gráficos) y AAAPAC (prensas/agencias) pueden afiliarse mediante convenios interinstitucionales, con un flujo de afiliación propio. Muestra un esquema de 'afiliación cruzada' entre sindicato y asociaciones profesionales.</t>
  </si>
  <si>
    <t xml:space="preserve">Afiliación por convenio: afiliación online con origen (P08/P03).</t>
  </si>
  <si>
    <t xml:space="preserve">SIPREBA-3</t>
  </si>
  <si>
    <t xml:space="preserve">Escalas salariales por rama (prensa escrita, radial, TV)</t>
  </si>
  <si>
    <t xml:space="preserve">Publicación en páginas web de las escalas salariales vigentes por categoría y antigüedad para prensa escrita, radial y televisada. Consulta pública, sin buscador ni calculadora: son tablas/documentos estáticos.</t>
  </si>
  <si>
    <t xml:space="preserve">https://www.sipreba.org/paritarias/escala-salarial-prensa-escrita/</t>
  </si>
  <si>
    <t xml:space="preserve">Escalas por rama: Fórmulas + Novedades; buscador en P14.</t>
  </si>
  <si>
    <t xml:space="preserve">SIPREBA-4</t>
  </si>
  <si>
    <t xml:space="preserve">Convenios colectivos y estatutos</t>
  </si>
  <si>
    <t xml:space="preserve">Repositorio de los CCT 301/75 (prensa escrita y oral), 124/75 (TV), Estatuto del Periodista y Estatuto del Empleado Administrativo de empresas periodísticas, de consulta abierta.</t>
  </si>
  <si>
    <t xml:space="preserve">https://www.sipreba.org/category/estatutos-y-convenios/</t>
  </si>
  <si>
    <t xml:space="preserve">Convenios y estatutos: Novedades / biblioteca.</t>
  </si>
  <si>
    <t xml:space="preserve">SIPREBA-5</t>
  </si>
  <si>
    <t xml:space="preserve">Caja de Herramientas (videos de derechos laborales)</t>
  </si>
  <si>
    <t xml:space="preserve">Serie de 7 videos cortos (trabajo, organización sindical, salario, licencias, estatuto del periodista, convenios, trabajo en plataformas) conducidos por dirigentes, producidos por la Secretaría de Juventudes para explicar derechos 'desde lo más básico'. Consumo 100% online, dirigido a afiliados y no afiliados del rubro.</t>
  </si>
  <si>
    <t xml:space="preserve">https://www.sipreba.org/sindicato/caja-de-herramientas-del-sipreba-para-conocer-tus-derechos/</t>
  </si>
  <si>
    <t xml:space="preserve">Biblioteca abierta: videos de derechos (P18, ola 1).</t>
  </si>
  <si>
    <t xml:space="preserve">SIPREBA-6</t>
  </si>
  <si>
    <t xml:space="preserve">Asesoría legal y contable gratuita</t>
  </si>
  <si>
    <t xml:space="preserve">Los afiliados acceden a asesoramiento jurídico laboral y contable sin cargo (relevante para monotributistas/freelance). Se solicita por mail o en la sede; no hay turnero web.</t>
  </si>
  <si>
    <t xml:space="preserve">Asesoría legal y contable: consulta por trámite; turnos en P12.</t>
  </si>
  <si>
    <t xml:space="preserve">SIPREBA-7</t>
  </si>
  <si>
    <t xml:space="preserve">Préstamo de kit de protección para coberturas de manifestaciones</t>
  </si>
  <si>
    <t xml:space="preserve">Préstamo gratuito de máscara con filtros multigas, prefiltros y antiparras anti-astillas para periodistas que cubren protestas, pensado para freelance y medios autogestivos. Se pide por mail con 48 hs de anticipación, se retira en sede y se devuelve dentro de 48 hs hábiles; el incumplimiento bloquea reservas por 3 meses y los daños por mal uso se cobran proporcionalmente (no así los causados por represión). Complemento: 20% de descuento en compra de equipo propio con un proveedor por mail/WhatsApp.</t>
  </si>
  <si>
    <t xml:space="preserve">https://www.sipreba.org/beneficios/prestamo-kit-proteccion-coberturas-manifestaciones/</t>
  </si>
  <si>
    <t xml:space="preserve">P20, P29</t>
  </si>
  <si>
    <t xml:space="preserve">SIPREBA-8</t>
  </si>
  <si>
    <t xml:space="preserve">Cursos y ciclos de capacitación (virtuales y presenciales)</t>
  </si>
  <si>
    <t xml:space="preserve">Ciclos de capacitación sobre cobertura periodística, formación gremial y talleres de derechos, con inscripción por períodos. Se publican como notas en la sección Formación; la inscripción se gestiona por mail/formulario según cada convocatoria.</t>
  </si>
  <si>
    <t xml:space="preserve">https://www.sipreba.org/category/formacion/</t>
  </si>
  <si>
    <t xml:space="preserve">Cursos: Capacitación (P22).</t>
  </si>
  <si>
    <t xml:space="preserve">SIPREBA-9</t>
  </si>
  <si>
    <t xml:space="preserve">Convenios académicos con descuento (FLACSO y otros)</t>
  </si>
  <si>
    <t xml:space="preserve">Acuerdos anuales con instituciones educativas que dan descuentos a afiliados (ej. 20% en posgrado de Relaciones Internacionales de FLACSO). El afiliado acredita su condición ante la institución; el sindicato publica la lista de convenios cada año.</t>
  </si>
  <si>
    <t xml:space="preserve">https://www.sipreba.org/beneficios/convenios-formacion-2026/</t>
  </si>
  <si>
    <t xml:space="preserve">Convenios académicos: constancia con QR (P09).</t>
  </si>
  <si>
    <t xml:space="preserve">SIPREBA-10</t>
  </si>
  <si>
    <t xml:space="preserve">Turismo: convenio Rueda Turismo Sindical y hospedajes con descuento</t>
  </si>
  <si>
    <t xml:space="preserve">Descuentos en alojamientos de Costa Atlántica, Córdoba y otros destinos, más un convenio con la agencia Rueda Turismo Sindical. Se gestiona contactando a la Secretaría de Acción Social; no hay reservas online propias.</t>
  </si>
  <si>
    <t xml:space="preserve">https://www.sipreba.org/beneficios/turismo-descuentos/</t>
  </si>
  <si>
    <t xml:space="preserve">SIPREBA-11</t>
  </si>
  <si>
    <t xml:space="preserve">Verano SiPreBA: acceso gratuito a clubes y piletas</t>
  </si>
  <si>
    <t xml:space="preserve">Cada verano el sindicato acuerda con clubes (ej. Club Soiva en 2026) el acceso gratuito de afiliados/as a piletas e instalaciones durante la temporada. Se accede acreditando afiliación según lo indicado en cada convocatoria.</t>
  </si>
  <si>
    <t xml:space="preserve">https://www.sipreba.org/beneficios/verano-sipreba-2026-acceso-gratuito-para-afiliados-y-afiliadas-a-club-soiva/</t>
  </si>
  <si>
    <t xml:space="preserve">Acceso a clubes por temporada: Beneficios + verificador (P19).</t>
  </si>
  <si>
    <t xml:space="preserve">SIPREBA-12</t>
  </si>
  <si>
    <t xml:space="preserve">Siprebitas: kits escolares, colonia de verano, ajuar y descuentos en jugueterías</t>
  </si>
  <si>
    <t xml:space="preserve">Programa para hijos/as de afiliados bajo la marca 'Siprebitas': entrega anual de kits de útiles en febrero, colonia de verano con inscripción, ajuar por nacimiento, actividades para infancias y descuentos en jugueterías (Okiema, DidactiKids, Yamanca). La inscripción a colonia y kits se abre por convocatoria; la entrega es en sede.</t>
  </si>
  <si>
    <t xml:space="preserve">https://www.sipreba.org/beneficios/febrero-2025-kits-siprebitas/</t>
  </si>
  <si>
    <t xml:space="preserve">Siprebitas: campañas de kits, colonia y ajuar (P04/P01).</t>
  </si>
  <si>
    <t xml:space="preserve">SIPREBA-13</t>
  </si>
  <si>
    <t xml:space="preserve">Descuentos culturales y profesionales (editorial, alquiler de estudio de radio)</t>
  </si>
  <si>
    <t xml:space="preserve">15% en el catálogo de la editorial Chirimbote y tarifa reducida para alquilar estudio de grabación en FM La Tribu, orientado a periodistas que producen contenidos propios. Se accede acreditando afiliación ante el comercio/medio.</t>
  </si>
  <si>
    <t xml:space="preserve">https://www.sipreba.org/beneficios/descuento-alquiler-estudio-fm-la-tribu/</t>
  </si>
  <si>
    <t xml:space="preserve">Descuentos culturales y profesionales: Beneficios.</t>
  </si>
  <si>
    <t xml:space="preserve">SIPREBA-14</t>
  </si>
  <si>
    <t xml:space="preserve">Canal de video propio (SiPreBATV en YouTube)</t>
  </si>
  <si>
    <t xml:space="preserve">Canal de YouTube institucional usado para difundir contenidos formativos (Caja de Herramientas) y comunicación gremial, además de Facebook y X.</t>
  </si>
  <si>
    <t xml:space="preserve">Canal de video propio.</t>
  </si>
  <si>
    <t xml:space="preserve">SMATA-1</t>
  </si>
  <si>
    <t xml:space="preserve">Afiliación con ficha y formulario 311</t>
  </si>
  <si>
    <t xml:space="preserve">El trabajador presenta recibo de sueldo, DNI y CUIL (más documentación del grupo familiar) firmando la ficha en la delegación o seccional; los familiares no incluidos se agregan con el formulario 311. La web detalla la documentación pero el trámite es enteramente presencial.</t>
  </si>
  <si>
    <t xml:space="preserve">https://www.smata.com.ar/afiliacion/</t>
  </si>
  <si>
    <t xml:space="preserve">SMATA-2</t>
  </si>
  <si>
    <t xml:space="preserve">Convenios y escalas salariales por cámara</t>
  </si>
  <si>
    <t xml:space="preserve">Repositorio organizado por convenio (ACA, ACARA, CATRAI, CAVEA, FAATRA, MOTTOS) con escalas trimestrales, actas de acuerdo y aportes en PDF, con historial desde 2014. Es un listado navegable, no un buscador ni calculadora.</t>
  </si>
  <si>
    <t xml:space="preserve">https://www.smata.com.ar/convenios-y-escalas/</t>
  </si>
  <si>
    <t xml:space="preserve">SMATA-3</t>
  </si>
  <si>
    <t xml:space="preserve">Boletas online (aportes)</t>
  </si>
  <si>
    <t xml:space="preserve">Sistema con login de la Secretaría de Finanzas para generar boletas de aportes y contribuciones; dirigido a empleadores/administradores, no al afiliado individual.</t>
  </si>
  <si>
    <t xml:space="preserve">https://www.smata.com.ar/secretarias/Finanzas/Site_Finanzas/login.asp</t>
  </si>
  <si>
    <t xml:space="preserve">Requiere desarrollo de olas 2-3: P15.</t>
  </si>
  <si>
    <t xml:space="preserve">SMATA-4</t>
  </si>
  <si>
    <t xml:space="preserve">Red de hoteles SMATA Turismo</t>
  </si>
  <si>
    <t xml:space="preserve">Nueve hoteles y cabañas (Hostería 17 de Octubre y Sierras Hotel en San Luis, El Nihuil en Mendoza, Punta Piedras en Mar del Plata, Hotel Conte y Avenida en Buenos Aires, Tierra del Sol en Salta, Bosque y Mar, Real Hotel Luján) con 15% de descuento para afiliados y promos 3x2 / 4x3. Reserva por formulario web de consultas o por teléfono/WhatsApp/mail de cada hotel.</t>
  </si>
  <si>
    <t xml:space="preserve">https://www.smata.com.ar/turismo/</t>
  </si>
  <si>
    <t xml:space="preserve">SMATA-5</t>
  </si>
  <si>
    <t xml:space="preserve">Centros recreativos y club de pesca</t>
  </si>
  <si>
    <t xml:space="preserve">Seis centros recreativos propios en el conurbano (Cañuelas, Zárate, José C. Paz, E. Echeverría, F. Varela, Moreno) y el Club de Pesca Baradero para afiliados y familia. Acceso presencial con credencial.</t>
  </si>
  <si>
    <t xml:space="preserve">SMATA-6</t>
  </si>
  <si>
    <t xml:space="preserve">Seguro de vida 'El Seguro de los Mecánicos' (mutual)</t>
  </si>
  <si>
    <t xml:space="preserve">Seguro de vida colectivo ofrecido por la Asociación Mutual Mecánica a los afiliados del sindicato. Se gestiona con la mutual (la web informa, el alta es presencial).</t>
  </si>
  <si>
    <t xml:space="preserve">https://www.mutualmecanicasmata.com.ar/</t>
  </si>
  <si>
    <t xml:space="preserve">Seguro de vida de la mutual: producto asegurador (difusión; P34).</t>
  </si>
  <si>
    <t xml:space="preserve">SMATA-7</t>
  </si>
  <si>
    <t xml:space="preserve">Subsidios por nacimiento/adopción y casamiento (mutual)</t>
  </si>
  <si>
    <t xml:space="preserve">'Presente por Nacimiento - Adopción' y 'Subsidio por Casamiento' para socios de la mutual. Se solicitan presentando la documentación en la mutual o seccional; la web no publica montos.</t>
  </si>
  <si>
    <t xml:space="preserve">SMATA-8</t>
  </si>
  <si>
    <t xml:space="preserve">Planes de asistencia PMI / PMO (mutual)</t>
  </si>
  <si>
    <t xml:space="preserve">Planes de asistencia mutual con aranceles publicados ('Aranceles Planes Salud Mutual') y afiliación/consulta de planes desde el portal de la mutual. Tienen componente de salud (excluido) pero se mencionan como 'planes de asistencia digital', ambiguo su alcance.</t>
  </si>
  <si>
    <t xml:space="preserve">Servicio presencial o producto de terceros que la plataforma solo puede difundir.</t>
  </si>
  <si>
    <t xml:space="preserve">SMATA-9</t>
  </si>
  <si>
    <t xml:space="preserve">Convenio de compras Diggit y beneficios Honda Motos (mutual)</t>
  </si>
  <si>
    <t xml:space="preserve">Acuerdos comerciales para que los socios compren productos a través de la plataforma Diggit y accedan a condiciones exclusivas para adquirir motos Honda. Se accede con credencial de socio.</t>
  </si>
  <si>
    <t xml:space="preserve">Compras Diggit/Honda como beneficio financiado (P24).</t>
  </si>
  <si>
    <t xml:space="preserve">SMATA-10</t>
  </si>
  <si>
    <t xml:space="preserve">Cursos de formación laboral y profesional</t>
  </si>
  <si>
    <t xml:space="preserve">La home menciona cursos de formación laboral y profesional para afiliados; sin catálogo ni inscripción online visibles.</t>
  </si>
  <si>
    <t xml:space="preserve">Catálogo de cursos, inscripción y certificados en Capacitación (P22, ola 2); constancia para convenios educativos en P09 (corto).</t>
  </si>
  <si>
    <t xml:space="preserve">SMATA-11</t>
  </si>
  <si>
    <t xml:space="preserve">Canal de denuncias anticorrupción</t>
  </si>
  <si>
    <t xml:space="preserve">Programa de integridad con política antisoborno y formulario online para denunciar actos de corrupción ante la Autoridad de Cumplimiento (también por carta). Aplica a afiliados y dirigentes.</t>
  </si>
  <si>
    <t xml:space="preserve">https://www.smata.com.ar/responsabilidad-institucional/formulario-anticorrupcion/</t>
  </si>
  <si>
    <t xml:space="preserve">Canal de denuncias anónimo: trámite confidencial (P10).</t>
  </si>
  <si>
    <t xml:space="preserve">SMATA-12</t>
  </si>
  <si>
    <t xml:space="preserve">Informe diario y revista Avance Digital</t>
  </si>
  <si>
    <t xml:space="preserve">Comunicación gremial mediante un informe diario publicado en la web, sección de prensa y la revista digital 'Avance'.</t>
  </si>
  <si>
    <t xml:space="preserve">https://www.smata.com.ar/informe-diario/</t>
  </si>
  <si>
    <t xml:space="preserve">SOEME-1</t>
  </si>
  <si>
    <t xml:space="preserve">Afiliación por formulario descargable</t>
  </si>
  <si>
    <t xml:space="preserve">Cinco formularios PDF según condición (estatal, privado, CABA, jubilados IPS, designación de beneficiarios) que se completan por duplicado, sin enmiendas, con copia de DNI y recibo firmado, más documentación de familiares. Se entregan en la filial más cercana o por correo postal a Salta 534, CABA; consultas por info@soeme.com o WhatsApp.</t>
  </si>
  <si>
    <t xml:space="preserve">https://soeme.com/como-afiliarte/</t>
  </si>
  <si>
    <t xml:space="preserve">Afiliación online (P08) con designación de beneficiarios (P29).</t>
  </si>
  <si>
    <t xml:space="preserve">SOEME-2</t>
  </si>
  <si>
    <t xml:space="preserve">Credencial de afiliado por mail</t>
  </si>
  <si>
    <t xml:space="preserve">La credencial SOEME se solicita escribiendo a credencial@soeme.com. No se indica si es física o digital ni plazos de entrega.</t>
  </si>
  <si>
    <t xml:space="preserve">Credencial por mail → credencial digital.</t>
  </si>
  <si>
    <t xml:space="preserve">SOEME-3</t>
  </si>
  <si>
    <t xml:space="preserve">Ayuda financiera para afiliados</t>
  </si>
  <si>
    <t xml:space="preserve">Asistencia financiera (tipo préstamo/adelanto, no se especifica) para afiliados activos del sector público, otorgada con fondos propios del sindicato y sin intermediarios, habilitada en Buenos Aires, CABA, Chubut, San Juan, Salta, Jujuy, Tucumán, Santa Fe y Mendoza. Se gestiona por mail (ayudafinanciera@soeme.com), teléfono o delegación; no publica montos ni cuotas.</t>
  </si>
  <si>
    <t xml:space="preserve">https://soeme.com/ayuda-financiera-para-afiliados/</t>
  </si>
  <si>
    <t xml:space="preserve">Ayuda financiera (P06).</t>
  </si>
  <si>
    <t xml:space="preserve">SOEME-4</t>
  </si>
  <si>
    <t xml:space="preserve">Club de Beneficios</t>
  </si>
  <si>
    <t xml:space="preserve">Plataforma cerrada de descuentos en primeras marcas para afiliados, tercerizada en clubdebeneficios.com. El afiliado se registra en la web del proveedor y accede a las ofertas; consultas por WhatsApp o info@soeme.com.</t>
  </si>
  <si>
    <t xml:space="preserve">https://soeme.com/club-de-beneficios/</t>
  </si>
  <si>
    <t xml:space="preserve">Club de beneficios tercerizado: Beneficios (enlace); uso en P19.</t>
  </si>
  <si>
    <t xml:space="preserve">SOEME-5</t>
  </si>
  <si>
    <t xml:space="preserve">Subsidios por nacimiento, matrimonio, fallecimiento y sepelio</t>
  </si>
  <si>
    <t xml:space="preserve">Cuatro subsidios de ciclo de vida (nacimiento, matrimonio, fallecimiento con seguro de vida, sepelios) listados como páginas individuales. No se pudo leer el detalle de montos ni trámite; por el patrón del sitio se gestionan vía delegación, mail o WhatsApp.</t>
  </si>
  <si>
    <t xml:space="preserve">https://soeme.com/beneficios/</t>
  </si>
  <si>
    <t xml:space="preserve">Subsidios de ciclo de vida (P01/P29).</t>
  </si>
  <si>
    <t xml:space="preserve">SOEME-6</t>
  </si>
  <si>
    <t xml:space="preserve">Kits escolares</t>
  </si>
  <si>
    <t xml:space="preserve">Entrega anual de kits escolares a hijos de afiliados (notas de prensa muestran entregas en Chubut y otras delegaciones). La página específica no pudo leerse (límite de tasa del servidor); el sitio la ubica en Beneficios/Educación.</t>
  </si>
  <si>
    <t xml:space="preserve">https://soeme.com/kit-escolares/</t>
  </si>
  <si>
    <t xml:space="preserve">Kits escolares: campaña (P04).</t>
  </si>
  <si>
    <t xml:space="preserve">SOEME-7</t>
  </si>
  <si>
    <t xml:space="preserve">Bolso Protegido</t>
  </si>
  <si>
    <t xml:space="preserve">Beneficio listado en 'Otros beneficios'; por el nombre parece un seguro/cobertura de pertenencias, pero la página no pudo leerse (límite de tasa). Ambiguo: verificar.</t>
  </si>
  <si>
    <t xml:space="preserve">https://soeme.com/bolso-potegido-pagina/</t>
  </si>
  <si>
    <t xml:space="preserve">Bolso protegido: cobertura de terceros (no verificado).</t>
  </si>
  <si>
    <t xml:space="preserve">SOEME-8</t>
  </si>
  <si>
    <t xml:space="preserve">Anteojos y ayuda ante enfermedad grave (subsidios no médicos del gremio)</t>
  </si>
  <si>
    <t xml:space="preserve">Listados bajo 'Salud' en el sitio del sindicato (no de la obra social): subsidio para anteojos y ayuda económica ante enfermedad grave. Se incluyen porque son ayudas económicas del gremio; el detalle del trámite no está en la página índice.</t>
  </si>
  <si>
    <t xml:space="preserve">Reintegros y ayudas por enfermedad (P07/P32, ola 2).</t>
  </si>
  <si>
    <t xml:space="preserve">SOEME-9</t>
  </si>
  <si>
    <t xml:space="preserve">Turismo con convenios</t>
  </si>
  <si>
    <t xml:space="preserve">Sección 'Nuevos beneficios de turismo' y 'Beneficios/Turismo' con convenios de hospedaje. No pudo leerse el detalle (límite de tasa); el patrón del sitio indica gestión por mail/WhatsApp/delegación.</t>
  </si>
  <si>
    <t xml:space="preserve">https://soeme.com/beneficios-de-turismo/</t>
  </si>
  <si>
    <t xml:space="preserve">SOEME-10</t>
  </si>
  <si>
    <t xml:space="preserve">Sistemas para empleadores: liquidación, intranet privados y gestión de aportes</t>
  </si>
  <si>
    <t xml:space="preserve">Tres portales con login para establecimientos educativos privados y empleadores: sistema de liquidación de cuotas sindicales, intranet de privados y gestión de aportes (proveedor Codertax). Contacto pagosprivados@soeme.com. Dirigido a empleadores, no a afiliados.</t>
  </si>
  <si>
    <t xml:space="preserve">Sistemas para empleadores: P15.</t>
  </si>
  <si>
    <t xml:space="preserve">SOEME-11</t>
  </si>
  <si>
    <t xml:space="preserve">WhatsApp y redes</t>
  </si>
  <si>
    <t xml:space="preserve">Botón flotante de WhatsApp como canal principal de consulta, más Facebook e Instagram. Atención presencial en Salta 534, CABA, lunes a viernes de 9 a 17. [Reclasificado a semi-online: canal de contacto humano.]</t>
  </si>
  <si>
    <t xml:space="preserve">SOMU-1</t>
  </si>
  <si>
    <t xml:space="preserve">Escuela Omar A. Rupp: cursos STCW</t>
  </si>
  <si>
    <t xml:space="preserve">Cursos obligatorios del convenio internacional STCW para embarcar (lucha contra incendios, supervivencia personal, primeros auxilios, control de multitudes, MARPOL, botes de rescate rápidos, familiarización con petroleros/quimiqueros, protección). Son certificaciones habilitantes para trabajar, dictadas por el propio sindicato en Av. Belgrano 1667, CABA.</t>
  </si>
  <si>
    <t xml:space="preserve">https://somu.org.ar/category/escuela/cursos-stcw/</t>
  </si>
  <si>
    <t xml:space="preserve">Cursos STCW habilitantes con vencimiento (P22/P23).</t>
  </si>
  <si>
    <t xml:space="preserve">SOMU-2</t>
  </si>
  <si>
    <t xml:space="preserve">Cursos profesionales y vigentes</t>
  </si>
  <si>
    <t xml:space="preserve">Cursos profesionales complementarios (ej. 'Seguridad e Higiene en la Cocina Profesional Marítima', 'Bote lento'); el sitio publica el calendario de cursos vigentes y cambios de fecha en novedades.</t>
  </si>
  <si>
    <t xml:space="preserve">https://somu.org.ar/category/escuela/cursos-vigentes/</t>
  </si>
  <si>
    <t xml:space="preserve">SOMU-3</t>
  </si>
  <si>
    <t xml:space="preserve">Inscripción online a cursos</t>
  </si>
  <si>
    <t xml:space="preserve">Botón 'Inscribirme' que lleva a sistema.somu.org.ar/escuela, un sistema web propio de inscripción; consultas por WhatsApp +54 9 11 6720-6185, teléfono o mail escuela.interior@somu.org.ar (existe un mail específico para afiliados del interior). No se pudo verificar si distingue afiliados/no afiliados ni costos.</t>
  </si>
  <si>
    <t xml:space="preserve">https://somu.org.ar/la-escuela/</t>
  </si>
  <si>
    <t xml:space="preserve">Inscripción online a cursos (P22, ola 2).</t>
  </si>
  <si>
    <t xml:space="preserve">SOMU-4</t>
  </si>
  <si>
    <t xml:space="preserve">Red de hoteles y predios propios (7 destinos)</t>
  </si>
  <si>
    <t xml:space="preserve">Cabañas Río Carcarañá (Colón, ER), Quinta La Amistad (Lomas de Zamora), hoteles '25 de Noviembre' I y II (Mar del Plata y Villa Gesell), Hotel Navegantes II (CABA) y III (Bariloche), Descanso de Bucaneros (Empedrado, Corrientes). Cada destino tiene página propia con tarifas (imagen) y contacto directo por teléfono, mail o WhatsApp del predio; no hay reserva centralizada online.</t>
  </si>
  <si>
    <t xml:space="preserve">https://somu.org.ar/turismo/</t>
  </si>
  <si>
    <t xml:space="preserve">SOMU-5</t>
  </si>
  <si>
    <t xml:space="preserve">Camping gratuito para afiliados + 1 invitado</t>
  </si>
  <si>
    <t xml:space="preserve">En el predio de Colón (Entre Ríos) el camping es gratis para afiliados y cada afiliado puede llevar un invitado sin costo; el resto paga tarifa general. Se coordina por teléfono/mail/WhatsApp del predio.</t>
  </si>
  <si>
    <t xml:space="preserve">https://somu.org.ar/turismo/cabana-rio-carcarana/</t>
  </si>
  <si>
    <t xml:space="preserve">SOMU-6</t>
  </si>
  <si>
    <t xml:space="preserve">Hotel en CABA para marítimos en tránsito</t>
  </si>
  <si>
    <t xml:space="preserve">Hotel Navegantes II en la Ciudad de Buenos Aires: alojamiento urbano útil para tripulantes del interior que deben hacer trámites, cursos o esperar embarque en la capital (uso inferido de la ubicación; la web solo lo lista como destino).</t>
  </si>
  <si>
    <t xml:space="preserve">SOMU-7</t>
  </si>
  <si>
    <t xml:space="preserve">Portal 'Acceso Empresas'</t>
  </si>
  <si>
    <t xml:space="preserve">Portal con login para empresas armadoras/empleadoras (empresas.somu.org.ar), presumiblemente para declaración y pago de aportes y cuotas sindicales; no se pudo abrir por error de certificado.</t>
  </si>
  <si>
    <t xml:space="preserve">http://empresas.somu.org.ar/</t>
  </si>
  <si>
    <t xml:space="preserve">Portal empresas: P15.</t>
  </si>
  <si>
    <t xml:space="preserve">SOMU-8</t>
  </si>
  <si>
    <t xml:space="preserve">Representación gremial y seguridad en el trabajo</t>
  </si>
  <si>
    <t xml:space="preserve">Defensa de derechos laborales, protección del empleo marítimo nacional y seguridad a bordo, con atención presencial en Perú 1667, CABA (lunes a viernes 8-12 y 14-17) o por info@somu.org.ar.</t>
  </si>
  <si>
    <t xml:space="preserve">Representación gremial: trámites y reclamos (P10).</t>
  </si>
  <si>
    <t xml:space="preserve">SOMU-9</t>
  </si>
  <si>
    <t xml:space="preserve">Novedades y redes sociales</t>
  </si>
  <si>
    <t xml:space="preserve">Sección de novedades con avisos de cursos y eventos; presencia en Facebook, X, YouTube e Instagram.</t>
  </si>
  <si>
    <t xml:space="preserve">https://somu.org.ar/novedades</t>
  </si>
  <si>
    <t xml:space="preserve">Novedades y redes.</t>
  </si>
  <si>
    <t xml:space="preserve">SPT-1</t>
  </si>
  <si>
    <t xml:space="preserve">Libre deuda online para transferencia de licencias/dominios</t>
  </si>
  <si>
    <t xml:space="preserve">Sistema web donde el titular de una licencia de taxi solicita turno y certificado de libre deuda de aportes sindicales sobre el dominio, requisito para transferir la licencia/vehículo. Se ingresa al sistema con el dominio y se regularizan deudas pendientes antes de la emisión. Es un servicio a empleadores/titulares más que a afiliados. [Reclasificado a semi-online: termina con turno y regularización.]</t>
  </si>
  <si>
    <t xml:space="preserve">https://www.spt.org.ar/servicios</t>
  </si>
  <si>
    <t xml:space="preserve">Libre deuda por empleador/dominio en P15 (ola 2).</t>
  </si>
  <si>
    <t xml:space="preserve">SPT-2</t>
  </si>
  <si>
    <t xml:space="preserve">Impresión online de boletas de aportes y convenios</t>
  </si>
  <si>
    <t xml:space="preserve">El titular/empleador ingresa CUIT y cantidad de empleados y el sistema genera la boleta de depósito de aportes sindicales (formato A4) para pagar en Banco Nación. Sirve para regularizar aportes y planes de pago por convenio. [Reclasificado a semi-online: genera boleta en papel para pagar en el banco.]</t>
  </si>
  <si>
    <t xml:space="preserve">Boletas para titulares: P15.</t>
  </si>
  <si>
    <t xml:space="preserve">SPT-3</t>
  </si>
  <si>
    <t xml:space="preserve">Turnero web para curso anual obligatorio de profesionalización</t>
  </si>
  <si>
    <t xml:space="preserve">Los choferes deben hacer cada año un curso de 6 horas (curso de iniciación y curso de ley) exigido por la regulación porteña. El turno se reserva online en un sistema externo (taxis.dtsconsulting.com.ar); el mes de cursada se asigna según el último dígito del DNI, coincidiendo con el vencimiento de la licencia de conducir. Es obligatorio también para no afiliados del rubro.</t>
  </si>
  <si>
    <t xml:space="preserve">Turnero de curso obligatorio: habilitantes (P23) + turnos (P12).</t>
  </si>
  <si>
    <t xml:space="preserve">SPT-4</t>
  </si>
  <si>
    <t xml:space="preserve">Consultas gremiales, legales, previsionales y de inspección</t>
  </si>
  <si>
    <t xml:space="preserve">Áreas de atención con horarios fijos (lun-vie 8:30-12:30 y 13:30-17) por teléfono con internos específicos o presencial en la sede de Av. La Plata 1562. 'Inspección' refiere al cuerpo de inspectores que verifica registración laboral de choferes en las paradas/empresas. No hay formulario web ni turnos online para estas consultas.</t>
  </si>
  <si>
    <t xml:space="preserve">https://www.spt.org.ar/consultas</t>
  </si>
  <si>
    <t xml:space="preserve">P10, P12</t>
  </si>
  <si>
    <t xml:space="preserve">Consultas por área: trámites; turnos en P12.</t>
  </si>
  <si>
    <t xml:space="preserve">SPT-5</t>
  </si>
  <si>
    <t xml:space="preserve">Escala salarial del taxista</t>
  </si>
  <si>
    <t xml:space="preserve">Página con la escala salarial vigente del CCT 436/06 (el chofer de taxi cobra un porcentaje de la recaudación más adicionales). Consulta pública sin calculadora.</t>
  </si>
  <si>
    <t xml:space="preserve">https://www.spt.org.ar/escala-salarial/</t>
  </si>
  <si>
    <t xml:space="preserve">Escala del taxista: Fórmulas + Novedades.</t>
  </si>
  <si>
    <t xml:space="preserve">SPT-6</t>
  </si>
  <si>
    <t xml:space="preserve">Gestión de Certificado de Reincidencia</t>
  </si>
  <si>
    <t xml:space="preserve">Orientación/gestión para obtener el certificado de antecedentes penales (Registro Nacional de Reincidencia), requisito habitual para la licencia profesional de conducir taxi. El sitio lo lista como servicio de consulta; el detalle de si el sindicato lo tramita o solo asesora no está explicitado.</t>
  </si>
  <si>
    <t xml:space="preserve">https://www.spt.org.ar/certificado-de-reincidencia/</t>
  </si>
  <si>
    <t xml:space="preserve">Orientación por trámite y guía en Novedades.</t>
  </si>
  <si>
    <t xml:space="preserve">SPT-7</t>
  </si>
  <si>
    <t xml:space="preserve">Seguro de sepelio</t>
  </si>
  <si>
    <t xml:space="preserve">Cobertura de sepelio para afiliados con cuota al día; se gestiona por el área de consultas. Sin detalle de montos ni trámite online.</t>
  </si>
  <si>
    <t xml:space="preserve">https://www.spt.org.ar/seguro-de-sepelio/</t>
  </si>
  <si>
    <t xml:space="preserve">SPT-8</t>
  </si>
  <si>
    <t xml:space="preserve">Turismo sindical: destinos con tarifa afiliado y hotel sindical</t>
  </si>
  <si>
    <t xml:space="preserve">Área de turismo (turismo@spt.org.ar, interno 317) que publica destinos por región (Costa, Termas, Cuyo, Norte, Sierras, Cataratas, Sur, Entre Ríos e internacionales Brasil/Chile/Paraguay) con tarifas especiales para afiliados (ej. San Clemente, hab. doble con desayuno a precio afiliado y menores con tarifa reducida) y un hotel sindical propio. Requisito: cuota al día, último recibo de sueldo y comprobante de cuota; reserva por mail/teléfono.</t>
  </si>
  <si>
    <t xml:space="preserve">https://www.spt.org.ar/turismo</t>
  </si>
  <si>
    <t xml:space="preserve">SPT-9</t>
  </si>
  <si>
    <t xml:space="preserve">Descuento en pasajes de micro (Terminal Liniers)</t>
  </si>
  <si>
    <t xml:space="preserve">20% de descuento en pasajes de micro comprados en Terminal Liniers y 40% fuera de temporada para afiliados, acreditando afiliación en ventanilla.</t>
  </si>
  <si>
    <t xml:space="preserve">Descuento en pasajes: Beneficios.</t>
  </si>
  <si>
    <t xml:space="preserve">SPT-10</t>
  </si>
  <si>
    <t xml:space="preserve">Polideportivo Centro Social y Recreativo San Martín</t>
  </si>
  <si>
    <t xml:space="preserve">Predio deportivo y recreativo propio para afiliados y familia. Acceso presencial con credencial; no hay reservas online.</t>
  </si>
  <si>
    <t xml:space="preserve">SPT-11</t>
  </si>
  <si>
    <t xml:space="preserve">Ajuar de nacimiento</t>
  </si>
  <si>
    <t xml:space="preserve">Entrega de un kit con artículos para recién nacidos (mamaderas, toallitas, jabón, shampoo, etc.). Requisitos: cuota sindical al día y certificado de nacimiento; se retira en sede. Fuente: nota de prensa sobre el sindicato, no el sitio.</t>
  </si>
  <si>
    <t xml:space="preserve">https://gestionsindical.com/el-sindicato-de-peones-de-taxi-suma-beneficios-para-sus-afiliados/</t>
  </si>
  <si>
    <t xml:space="preserve">Ajuar: subsidio en especie (P01).</t>
  </si>
  <si>
    <t xml:space="preserve">SPT-12</t>
  </si>
  <si>
    <t xml:space="preserve">Regalo de bodas: viaje de luna de miel</t>
  </si>
  <si>
    <t xml:space="preserve">Viaje de 7 días (pasajes, estadía y pensión completa, destino a confirmar) para afiliados recién casados. Requisitos: cuota al día, acta de matrimonio y DNI de ambos. Fuente: nota de prensa, no el sitio oficial.</t>
  </si>
  <si>
    <t xml:space="preserve">Luna de miel: voucher (P02).</t>
  </si>
  <si>
    <t xml:space="preserve">SPT-13</t>
  </si>
  <si>
    <t xml:space="preserve">Campaña #YoTomoTaxi y difusión (fotos/videos)</t>
  </si>
  <si>
    <t xml:space="preserve">Sección de comunicación con campaña de promoción del taxi frente a las apps, galería de fotos y videos. Comunicación unidireccional.</t>
  </si>
  <si>
    <t xml:space="preserve">Campaña y difusión: Novedades.</t>
  </si>
  <si>
    <t xml:space="preserve">SSRA-1</t>
  </si>
  <si>
    <t xml:space="preserve">Credencial digital múltiple con QR</t>
  </si>
  <si>
    <t xml:space="preserve">Desde la app el afiliado muestra su credencial sindical, la de la obra social OSSEG y la de la mutual AMTRAS, cada una con código QR. La app bloquea capturas de pantalla sobre las credenciales y se accede con PIN o patrón para uso rápido.</t>
  </si>
  <si>
    <t xml:space="preserve">https://apps.apple.com/ar/app/sindicato-del-seguro-de-la-r-a/id6482355379</t>
  </si>
  <si>
    <t xml:space="preserve">P05, P19, P34</t>
  </si>
  <si>
    <t xml:space="preserve">Credencial digital con QR; credenciales de mutual y anti-captura en P19.</t>
  </si>
  <si>
    <t xml:space="preserve">SSRA-2</t>
  </si>
  <si>
    <t xml:space="preserve">Solicitud de ayudas económicas desde la app</t>
  </si>
  <si>
    <t xml:space="preserve">La app permite 'solicitar' la ayuda familiar, ayuda escolar, subsidio por libros y ayuda de guardería/pañales. En la web existen páginas /ayuda/guarderia/ y /ayuda/escolar/ (no legibles por bloqueo 403), lo que sugiere que la solicitud se inicia online y el sindicato liquida el subsidio; no se pudo verificar si termina 100% online.</t>
  </si>
  <si>
    <t xml:space="preserve">https://www.sindicatodelseguro.com.ar/ayuda/</t>
  </si>
  <si>
    <t xml:space="preserve">Solicitud de ayudas desde la app (P01/P04, ola 1); guardería mensual en P07.</t>
  </si>
  <si>
    <t xml:space="preserve">SSRA-3</t>
  </si>
  <si>
    <t xml:space="preserve">Turismo social (hoteles propios y promos)</t>
  </si>
  <si>
    <t xml:space="preserve">El sindicato cuenta con hoteles propios (Hotel 21 de Octubre, Américo, Argentina Justa en Villa Gesell) y promos como trekking en Córdoba o 'Sierras de Córdoba +18'. Los afiliados del interior completan un PDF de 'Solicitud de Turismo' (datos personales, hotel elegido y alternativas, fechas, forma de pago, acompañantes) y lo presentan en su seccional/delegación con fotocopia de recibo; la reserva se mantiene hasta la fecha de pago pactada, cancelación con 10 días y 10% de gasto administrativo. La app también muestra los centros turísticos.</t>
  </si>
  <si>
    <t xml:space="preserve">https://www.sindicatodelseguro.com.ar/turismo/</t>
  </si>
  <si>
    <t xml:space="preserve">SSRA-4</t>
  </si>
  <si>
    <t xml:space="preserve">Reintegro por colonia de vacaciones (Niños)</t>
  </si>
  <si>
    <t xml:space="preserve">Prestación 'Niños' consistente en reintegro por colonia de vacaciones de hijos de afiliados. Página existente en el menú Prestaciones; el detalle de montos y trámite no pudo leerse.</t>
  </si>
  <si>
    <t xml:space="preserve">https://www.sindicatodelseguro.com.ar/reintegroporcolonia/</t>
  </si>
  <si>
    <t xml:space="preserve">Reintegro por colonia (P07, ola 2).</t>
  </si>
  <si>
    <t xml:space="preserve">SSRA-5</t>
  </si>
  <si>
    <t xml:space="preserve">Parque de la Costa para la familia</t>
  </si>
  <si>
    <t xml:space="preserve">Beneficio de entradas al Parque de la Costa para afiliados y familia; la actualización de la app de agosto 2026 agregó un submenú específico para gestionarlo desde el celular.</t>
  </si>
  <si>
    <t xml:space="preserve">https://www.sindicatodelseguro.com.ar/familia/</t>
  </si>
  <si>
    <t xml:space="preserve">Entradas como voucher (P02).</t>
  </si>
  <si>
    <t xml:space="preserve">SSRA-6</t>
  </si>
  <si>
    <t xml:space="preserve">Préstamos personales (FIDEC)</t>
  </si>
  <si>
    <t xml:space="preserve">Préstamos personales a afiliados otorgados por el sindicato junto a su entidad FIDEC. Sección 'Préstamos' en el menú Prestaciones; el formulario y condiciones no pudieron leerse (403).</t>
  </si>
  <si>
    <t xml:space="preserve">https://www.sindicatodelseguro.com.ar/prestamos/</t>
  </si>
  <si>
    <t xml:space="preserve">Préstamos (P06).</t>
  </si>
  <si>
    <t xml:space="preserve">SSRA-7</t>
  </si>
  <si>
    <t xml:space="preserve">Crédito hipotecario</t>
  </si>
  <si>
    <t xml:space="preserve">Sección propia de crédito hipotecario para afiliados, incorporada también como opción dentro de la app en su última versión. El detalle (banco, condiciones) no pudo leerse.</t>
  </si>
  <si>
    <t xml:space="preserve">https://www.sindicatodelseguro.com.ar/creditohipotecario/</t>
  </si>
  <si>
    <t xml:space="preserve">Crédito hipotecario bancario: solo difusión.</t>
  </si>
  <si>
    <t xml:space="preserve">SSRA-8</t>
  </si>
  <si>
    <t xml:space="preserve">Cursos gratuitos de IA (Fundación IAF)</t>
  </si>
  <si>
    <t xml:space="preserve">La fundación IAF del sindicato dicta cursos gratuitos de 'Programación con IA' (niveles I-III), 'Gestión del conocimiento con IA', conversatorios y paneles, presenciales y virtuales, abiertos a toda la comunidad y no solo afiliados. Inscripción vía iaf.ai / info@iaf.ai.</t>
  </si>
  <si>
    <t xml:space="preserve">https://iaf.ai/</t>
  </si>
  <si>
    <t xml:space="preserve">Cursos abiertos de la fundación (P22/P34).</t>
  </si>
  <si>
    <t xml:space="preserve">SSRA-9</t>
  </si>
  <si>
    <t xml:space="preserve">Capacitación y Tecnicatura en Seguros</t>
  </si>
  <si>
    <t xml:space="preserve">Sección Capacitación del sindicato y Tecnicatura Superior en Seguros (IFTS N°1) en convenio con el sindicato para formación técnica del rubro.</t>
  </si>
  <si>
    <t xml:space="preserve">https://www.sindicatodelseguro.com.ar/capacitacion/</t>
  </si>
  <si>
    <t xml:space="preserve">Capacitación y tecnicatura: P22.</t>
  </si>
  <si>
    <t xml:space="preserve">SSRA-10</t>
  </si>
  <si>
    <t xml:space="preserve">Biblioteca</t>
  </si>
  <si>
    <t xml:space="preserve">Biblioteca del sindicato para afiliados (sección Prestaciones). Sin detalle accesible.</t>
  </si>
  <si>
    <t xml:space="preserve">https://www.sindicatodelseguro.com.ar/biblioteca/</t>
  </si>
  <si>
    <t xml:space="preserve">Biblioteca: P18.</t>
  </si>
  <si>
    <t xml:space="preserve">SSRA-11</t>
  </si>
  <si>
    <t xml:space="preserve">Deportes: fútbol masculino y femenino, polideportivos</t>
  </si>
  <si>
    <t xml:space="preserve">Ligas de fútbol masculino y femenino organizadas por el sindicato y polideportivos consultables desde la app; además convenio con Sport Club (gimnasios) para afiliados.</t>
  </si>
  <si>
    <t xml:space="preserve">https://www.sindicatodelseguro.com.ar/deportes/</t>
  </si>
  <si>
    <t xml:space="preserve">Ligas y polideportivos: inscripciones (P04); reservas en P20.</t>
  </si>
  <si>
    <t xml:space="preserve">SSRA-12</t>
  </si>
  <si>
    <t xml:space="preserve">Convenio Sport Club</t>
  </si>
  <si>
    <t xml:space="preserve">Página dedicada al acuerdo con la cadena de gimnasios Sport Club para afiliados; se presume descuento/tarifa preferencial (detalle no legible).</t>
  </si>
  <si>
    <t xml:space="preserve">https://www.sindicatodelseguro.com.ar/sportclub/</t>
  </si>
  <si>
    <t xml:space="preserve">Sport Club: Beneficios.</t>
  </si>
  <si>
    <t xml:space="preserve">SSRA-13</t>
  </si>
  <si>
    <t xml:space="preserve">Jubilados / Previsión</t>
  </si>
  <si>
    <t xml:space="preserve">Sección 'Jubilados' dentro de Prestaciones con servicios para afiliados jubilados y asesoría previsional. Detalle no accesible.</t>
  </si>
  <si>
    <t xml:space="preserve">https://www.sindicatodelseguro.com.ar/prevision/</t>
  </si>
  <si>
    <t xml:space="preserve">Previsión: consulta por trámite; ruta jubilatoria (P13) después.</t>
  </si>
  <si>
    <t xml:space="preserve">SSRA-14</t>
  </si>
  <si>
    <t xml:space="preserve">Canal de denuncia de violencia laboral</t>
  </si>
  <si>
    <t xml:space="preserve">Casilla dedicada violencialaboral@ssra.org.ar publicada en el sitio, junto a un área de Igualdad de Género, para que trabajadores/as denuncien situaciones de violencia laboral.</t>
  </si>
  <si>
    <t xml:space="preserve">https://www.sindicatodelseguro.com.ar/gremiales/igualdaddegenero/</t>
  </si>
  <si>
    <t xml:space="preserve">Denuncia de violencia laboral: trámite confidencial (P10 la tipifica).</t>
  </si>
  <si>
    <t xml:space="preserve">SSRA-15</t>
  </si>
  <si>
    <t xml:space="preserve">Consultas por WhatsApp y mail</t>
  </si>
  <si>
    <t xml:space="preserve">WhatsApp 11-6165-2222 y consultas@ssra.org.ar como canales generales de atención al afiliado.</t>
  </si>
  <si>
    <t xml:space="preserve">SSRA-16</t>
  </si>
  <si>
    <t xml:space="preserve">Revista Nexo, videos y comunicados</t>
  </si>
  <si>
    <t xml:space="preserve">Publicación institucional 'Nexo', videos y noticias accesibles desde la app y la web (sección Comunicados).</t>
  </si>
  <si>
    <t xml:space="preserve">https://www.sindicatodelseguro.com.ar/comunicados/</t>
  </si>
  <si>
    <t xml:space="preserve">Revista y comunicados: Novedades.</t>
  </si>
  <si>
    <t xml:space="preserve">SSRA-17</t>
  </si>
  <si>
    <t xml:space="preserve">Acción Solidaria</t>
  </si>
  <si>
    <t xml:space="preserve">Sección de acción solidaria del sindicato (campañas/donaciones). Detalle no accesible.</t>
  </si>
  <si>
    <t xml:space="preserve">https://www.sindicatodelseguro.com.ar/gremiales/accionsolidaria/</t>
  </si>
  <si>
    <t xml:space="preserve">Acción solidaria: campañas en Novedades.</t>
  </si>
  <si>
    <t xml:space="preserve">SSRA-18</t>
  </si>
  <si>
    <t xml:space="preserve">Portal empresas (cuenta corriente de aportes)</t>
  </si>
  <si>
    <t xml:space="preserve">Acceso 'empresas' en cc.sindicatodelseguro.com para que los empleadores gestionen declaraciones y aportes sindicales.</t>
  </si>
  <si>
    <t xml:space="preserve">http://cc.sindicatodelseguro.com</t>
  </si>
  <si>
    <t xml:space="preserve">STIA-1</t>
  </si>
  <si>
    <t xml:space="preserve">Afiliación</t>
  </si>
  <si>
    <t xml:space="preserve">Se realiza en la oficina de afiliaciones (Estados Unidos 1532, CABA) o por mail a afiliaciones@stia.org.ar, presentando DNI y recibos de sueldo (uno si es mensual, dos si es quincenal), más partidas y DNI de familiares a cargo. No hay formulario online.</t>
  </si>
  <si>
    <t xml:space="preserve">https://stia.org.ar/afiliate/</t>
  </si>
  <si>
    <t xml:space="preserve">STIA-2</t>
  </si>
  <si>
    <t xml:space="preserve">Escalas salariales por convenio (PDF)</t>
  </si>
  <si>
    <t xml:space="preserve">Página por convenio (CCT 244/94 y 434/06) con las escalas de cada período paritario desde 2010, publicadas como imagen previa con enlace al PDF. No hay buscador ni calculadora; el afiliado descarga la tabla vigente.</t>
  </si>
  <si>
    <t xml:space="preserve">https://stia.org.ar/convenio-244-94/</t>
  </si>
  <si>
    <t xml:space="preserve">Escalas por convenio: Fórmulas + Novedades; buscador en P14.</t>
  </si>
  <si>
    <t xml:space="preserve">STIA-3</t>
  </si>
  <si>
    <t xml:space="preserve">Escalafón por antigüedad</t>
  </si>
  <si>
    <t xml:space="preserve">Página con la tabla de adicionales por antigüedad del convenio, para que el trabajador verifique su recibo. Publicación estática.</t>
  </si>
  <si>
    <t xml:space="preserve">https://stia.org.ar/escalafon-antiguedad/</t>
  </si>
  <si>
    <t xml:space="preserve">Escalafón por antigüedad está en Fórmulas (antigüedad) y se valida en el recibo; buscador en P14.</t>
  </si>
  <si>
    <t xml:space="preserve">STIA-4</t>
  </si>
  <si>
    <t xml:space="preserve">Asesoramiento gremial sobre liquidación de sueldos</t>
  </si>
  <si>
    <t xml:space="preserve">La Secretaría Gremial atiende dudas sobre liquidación de haberes por teléfono, mail (sg@stia.org.ar) o en Carlos Calvo 1535, lunes a viernes de 9 a 17.</t>
  </si>
  <si>
    <t xml:space="preserve">https://stia.org.ar/asesoramientos/</t>
  </si>
  <si>
    <t xml:space="preserve">Asesoría sobre liquidación: el validador de recibos la resuelve en gran parte; consulta por trámite para el resto.</t>
  </si>
  <si>
    <t xml:space="preserve">STIA-5</t>
  </si>
  <si>
    <t xml:space="preserve">Asesoramiento jurídico laboral y medicina legal</t>
  </si>
  <si>
    <t xml:space="preserve">Abogada laboralista con horarios fijos (lunes 9:30-11:30 y jueves 15-17) y médico legista para accidentes de trabajo (martes 9-11), con turno por teléfono, WhatsApp (15 6052-7490) o mail. Atención presencial en sede.</t>
  </si>
  <si>
    <t xml:space="preserve">Asesoría jurídica y médico legista con turno por WhatsApp: consulta por trámite hoy; turnos (P12) después.</t>
  </si>
  <si>
    <t xml:space="preserve">STIA-6</t>
  </si>
  <si>
    <t xml:space="preserve">Protocolo de violencia laboral</t>
  </si>
  <si>
    <t xml:space="preserve">Página con el protocolo del sindicato para denuncias de violencia laboral. Es documental; no se detectó formulario de denuncia online.</t>
  </si>
  <si>
    <t xml:space="preserve">https://stia.org.ar/protocolo-violencia-laboral/</t>
  </si>
  <si>
    <t xml:space="preserve">Protocolo y denuncia: trámite confidencial (P10).</t>
  </si>
  <si>
    <t xml:space="preserve">STIA-7</t>
  </si>
  <si>
    <t xml:space="preserve">Entrega de cochecito y silla de comer a afiliados con 6 meses de antigüedad, hasta 2 meses después del nacimiento, presentando recibo, certificado de nacimiento, carnet y DNI. Consultas por teléfono; el trámite es presencial.</t>
  </si>
  <si>
    <t xml:space="preserve">https://stia.org.ar/nacimiento/</t>
  </si>
  <si>
    <t xml:space="preserve">Beneficio por nacimiento en especie (P01).</t>
  </si>
  <si>
    <t xml:space="preserve">STIA-8</t>
  </si>
  <si>
    <t xml:space="preserve">Útiles escolares con inscripción web</t>
  </si>
  <si>
    <t xml:space="preserve">Kits por nivel (preescolar, primaria con guardapolvo, secundaria hasta 17 años) para hijos de afiliados con antigüedad al 31/07. La inscripción es exclusivamente por formulario web con login (DNI + número de afiliado) del 7/9 al 7/12; los hijos deben estar en el padrón, si no se adjunta DNI y partida. Consultas por WhatsApp.</t>
  </si>
  <si>
    <t xml:space="preserve">https://stia.org.ar/utiles-escolares-2/</t>
  </si>
  <si>
    <t xml:space="preserve">P04, P05</t>
  </si>
  <si>
    <t xml:space="preserve">Útiles con inscripción web y ventana (P04).</t>
  </si>
  <si>
    <t xml:space="preserve">STIA-9</t>
  </si>
  <si>
    <t xml:space="preserve">Día de la Niñez, luna de miel y sepelios</t>
  </si>
  <si>
    <t xml:space="preserve">Beneficios listados en la sección 'tus aportes vuelven a vos': regalo/evento por el Día de la Niñez, estadía de luna de miel en hotel propio y servicio de sepelio. En STIA PBA se detalla luna de miel de 10 días sin cargo en Córdoba o Mar del Plata y subsidios por casamiento ($100.000) y fallecimiento ($75.000) por CBU, con 6 meses de antigüedad.</t>
  </si>
  <si>
    <t xml:space="preserve">https://stia.org.ar/beneficios/</t>
  </si>
  <si>
    <t xml:space="preserve">Día de la Niñez, luna de miel y sepelio (P04/P02/P29).</t>
  </si>
  <si>
    <t xml:space="preserve">STIA-10</t>
  </si>
  <si>
    <t xml:space="preserve">Capacitación con el Ministerio de Trabajo</t>
  </si>
  <si>
    <t xml:space="preserve">Cursos de capacitación bajo convenio con el Ministerio de Trabajo, Empleo y Seguridad Social, para afiliados. El sitio no lista cursos ni modalidad; la inscripción se consulta a la Secretaría Gremial y Capacitación por teléfono.</t>
  </si>
  <si>
    <t xml:space="preserve">https://stia.org.ar/capacitaciones/</t>
  </si>
  <si>
    <t xml:space="preserve">Capacitación: P22.</t>
  </si>
  <si>
    <t xml:space="preserve">STIA-11</t>
  </si>
  <si>
    <t xml:space="preserve">Turismo: complejos propios</t>
  </si>
  <si>
    <t xml:space="preserve">Complejo 10 de Marzo en San José (Entre Ríos, departamentos con pileta, a dos cuadras de las termas), Colonia General Belgrano (hotel en Córdoba), campo en José C. Paz y Solares de la Bahía. Reservas exclusivamente por teléfono o WhatsApp (11 3065-8722) con la Secretaría de Turismo y Deportes; hay planes de pago en cuotas fijas.</t>
  </si>
  <si>
    <t xml:space="preserve">https://stia.org.ar/cabanasentrerios/</t>
  </si>
  <si>
    <t xml:space="preserve">STIA-12</t>
  </si>
  <si>
    <t xml:space="preserve">Turismo por antigüedad (STIA PBA)</t>
  </si>
  <si>
    <t xml:space="preserve">Plan de la seccional provincia de Buenos Aires: días gratis de alojamiento con desayuno según antigüedad de afiliación (3 días de 5 a 10 años, 5 días de 10 a 20, 10 días con más de 20). Solicitudes por portal web solicitudes.stiapba.org.ar.</t>
  </si>
  <si>
    <t xml:space="preserve">https://stiapba.org.ar/sindicato/sindicato/beneficios-sociales-sindicales/</t>
  </si>
  <si>
    <t xml:space="preserve">P02, P20, P32</t>
  </si>
  <si>
    <t xml:space="preserve">Días de turismo por antigüedad como voucher (P02); la reserva en P20.</t>
  </si>
  <si>
    <t xml:space="preserve">STIA-13</t>
  </si>
  <si>
    <t xml:space="preserve">Torneos de fútbol masculino y femenino</t>
  </si>
  <si>
    <t xml:space="preserve">Torneos de fútbol libres, veteranos y el primer torneo femenino; los afiliados arman equipo y se inscriben por mail (turismo@stia.org.ar) o teléfono con la Secretaría de Turismo y Deportes.</t>
  </si>
  <si>
    <t xml:space="preserve">https://stia.org.ar/deportes/</t>
  </si>
  <si>
    <t xml:space="preserve">Torneos: inscripciones (P04).</t>
  </si>
  <si>
    <t xml:space="preserve">STIA-14</t>
  </si>
  <si>
    <t xml:space="preserve">BOPE: boleta de aportes para empresas</t>
  </si>
  <si>
    <t xml:space="preserve">Portal con login para empleadores del sector que genera la boleta de pago de aportes sindicales al STIA, con mesa de ayuda telefónica. Dirigido a empresas, no a afiliados.</t>
  </si>
  <si>
    <t xml:space="preserve">https://stia.org.ar/empresas/</t>
  </si>
  <si>
    <t xml:space="preserve">BOPE: P15.</t>
  </si>
  <si>
    <t xml:space="preserve">STIA-15</t>
  </si>
  <si>
    <t xml:space="preserve">Noticias, contacto y WhatsApp por secretaría</t>
  </si>
  <si>
    <t xml:space="preserve">Sección de noticias, formulario de contacto y números de WhatsApp diferenciados por área (turismo, jurídico, útiles escolares). Sin newsletter ni app detectadas. [Reclasificado a semi-online: canal de contacto humano.]</t>
  </si>
  <si>
    <t xml:space="preserve">https://stia.org.ar/contacto/</t>
  </si>
  <si>
    <t xml:space="preserve">Noticias, contacto y consultas por área vía trámites.</t>
  </si>
  <si>
    <t xml:space="preserve">SUTPA-1</t>
  </si>
  <si>
    <t xml:space="preserve">Proveeduría online de la mutual (tienda con carrito)</t>
  </si>
  <si>
    <t xml:space="preserve">E-commerce propio de la mutual con celulares, electrodomésticos, Smart TV, audio, herramientas, informática, climatización, piletas, termos y bazar, con descuentos del 5% al 25% y botón 'añadir al carrito'. Dirigido a socios de la mutual; la web no detalla envío ni si se paga por descuento en recibo o cuotas.</t>
  </si>
  <si>
    <t xml:space="preserve">https://mutualsutpa.com.ar/proveeduria2/</t>
  </si>
  <si>
    <t xml:space="preserve">Proveeduría de la mutual (P24/P34).</t>
  </si>
  <si>
    <t xml:space="preserve">SUTPA-2</t>
  </si>
  <si>
    <t xml:space="preserve">Asociación a la mutual por WhatsApp</t>
  </si>
  <si>
    <t xml:space="preserve">El trabajador imprime la planilla de asociación, la completa, la firma y envía una foto por WhatsApp a la mutual (+54 9 11 3943-3828). Alta 'semi-digital' sin formulario web.</t>
  </si>
  <si>
    <t xml:space="preserve">https://mutualsutpa.com.ar/</t>
  </si>
  <si>
    <t xml:space="preserve">P27, P34</t>
  </si>
  <si>
    <t xml:space="preserve">Alta a la mutual por WhatsApp: afiliación online (P08).</t>
  </si>
  <si>
    <t xml:space="preserve">SUTPA-3</t>
  </si>
  <si>
    <t xml:space="preserve">Subsidios de la mutual indexados en cuotas sociales (nacimiento, casamiento, fallecimiento)</t>
  </si>
  <si>
    <t xml:space="preserve">Nacimiento y casamiento: pago de una suma igual a 20 cuotas sociales acreditando el hecho y aportando CBU/alias. Fallecimiento: 100 cuotas sociales pagadas a la persona designada previamente en la declaratoria de beneficiarios, con partida de defunción. Los montos se expresan en 'cuotas sociales', lo que los indexa automáticamente. Trámite por mail/WhatsApp/teléfono.</t>
  </si>
  <si>
    <t xml:space="preserve">https://mutualsutpa.com.ar/subsidios/</t>
  </si>
  <si>
    <t xml:space="preserve">P01, P29</t>
  </si>
  <si>
    <t xml:space="preserve">Subsidios en cuotas sociales con beneficiarios (P01/P29).</t>
  </si>
  <si>
    <t xml:space="preserve">SUTPA-4</t>
  </si>
  <si>
    <t xml:space="preserve">Set de nacimiento con elección de producto</t>
  </si>
  <si>
    <t xml:space="preserve">El sindicato entrega productos para el bebé: la sección Beneficios lista cuna moisés colecho, cochecito paragüitas, cochecito Pipe (azul o rosa) y silla de comer portátil, lo que sugiere que el afiliado elige entre opciones. Requisitos y canal no detallados en la web (consulta por WhatsApp/teléfono).</t>
  </si>
  <si>
    <t xml:space="preserve">https://sutpa.com.ar/beneficios/</t>
  </si>
  <si>
    <t xml:space="preserve">Set de nacimiento con elección (P01/P24).</t>
  </si>
  <si>
    <t xml:space="preserve">SUTPA-5</t>
  </si>
  <si>
    <t xml:space="preserve">Set escolar</t>
  </si>
  <si>
    <t xml:space="preserve">Útiles escolares entregados a hijos de afiliados de 3 a 18 años, retiro presencial.</t>
  </si>
  <si>
    <t xml:space="preserve">Set escolar: campaña (P04).</t>
  </si>
  <si>
    <t xml:space="preserve">SUTPA-6</t>
  </si>
  <si>
    <t xml:space="preserve">Sepelio</t>
  </si>
  <si>
    <t xml:space="preserve">Cobertura de sepelio listada en Beneficios del sindicato (además del subsidio por fallecimiento de la mutual). Sin detalle de trámite.</t>
  </si>
  <si>
    <t xml:space="preserve">SUTPA-7</t>
  </si>
  <si>
    <t xml:space="preserve">Hotel boutique y cabañas propias</t>
  </si>
  <si>
    <t xml:space="preserve">Complejo 'Hotel Boutique &amp; Cabañas del Espera' del sindicato para alojamiento de afiliados, con página propia; reserva por contacto.</t>
  </si>
  <si>
    <t xml:space="preserve">https://sutpa.com.ar/hotel-boutique-cabanas-del-espera/</t>
  </si>
  <si>
    <t xml:space="preserve">SUTPA-8</t>
  </si>
  <si>
    <t xml:space="preserve">Turismo (sindicato y mutual)</t>
  </si>
  <si>
    <t xml:space="preserve">Destinos vacacionales a 'precio excepcional' publicados en el sitio del sindicato y en la mutual (turismo-destinos). Reserva por contacto.</t>
  </si>
  <si>
    <t xml:space="preserve">https://mutualsutpa.com.ar/turismo-destinos/</t>
  </si>
  <si>
    <t xml:space="preserve">SUTPA-9</t>
  </si>
  <si>
    <t xml:space="preserve">Convenios con comercios y ópticas</t>
  </si>
  <si>
    <t xml:space="preserve">Listado de comercios adheridos con descuento y convenio con óptica (Optisejas) presentando credencial de la mutual y último recibo de sueldo.</t>
  </si>
  <si>
    <t xml:space="preserve">https://mutualsutpa.com.ar/comercios/</t>
  </si>
  <si>
    <t xml:space="preserve">Convenios con comercios: Beneficios.</t>
  </si>
  <si>
    <t xml:space="preserve">SUTPA-10</t>
  </si>
  <si>
    <t xml:space="preserve">Deportes</t>
  </si>
  <si>
    <t xml:space="preserve">Torneos y actividades deportivas anuales para afiliados, organizados por el sindicato.</t>
  </si>
  <si>
    <t xml:space="preserve">https://sutpa.com.ar/deportes/</t>
  </si>
  <si>
    <t xml:space="preserve">Deportes: inscripciones (P04).</t>
  </si>
  <si>
    <t xml:space="preserve">UATRE-1</t>
  </si>
  <si>
    <t xml:space="preserve">App UATRE Digital con credencial digital</t>
  </si>
  <si>
    <t xml:space="preserve">El afiliado descarga la app, elige 'registrarme ahora', se identifica con CUIT/CUIL, crea contraseña, registra su celular y valida con código SMS; obtiene su credencial sindical digital en el teléfono para acreditarse en trámites y gestiones. Lanzada en septiembre de 2024 bajo la consigna 'sindicato federal e inclusivo'.</t>
  </si>
  <si>
    <t xml:space="preserve">https://www.lineasindical.com.ar/uatre-lanz-credencial-digital-para-afiliadosas-n-1739040.html</t>
  </si>
  <si>
    <t xml:space="preserve">Credencial digital con onboarding por CUIL.</t>
  </si>
  <si>
    <t xml:space="preserve">UATRE-2</t>
  </si>
  <si>
    <t xml:space="preserve">App UATRE (comunicación institucional)</t>
  </si>
  <si>
    <t xml:space="preserve">App Android/iOS del sindicato (Sistemas Gremiales) orientada a comunicación con los afiliados, con login (usuarios reportan problemas de recuperación de contraseña y acceso a funciones como recetarios, lo que sugiere integración con la obra social). No se pudo confirmar el listado exacto de funciones.</t>
  </si>
  <si>
    <t xml:space="preserve">https://play.google.com/store/apps/details?id=com.galgo.uatre</t>
  </si>
  <si>
    <t xml:space="preserve">App de comunicación: app del trabajador.</t>
  </si>
  <si>
    <t xml:space="preserve">UATRE-3</t>
  </si>
  <si>
    <t xml:space="preserve">Plataforma UATRE Beneficios (descuentos con registro)</t>
  </si>
  <si>
    <t xml:space="preserve">Sitio beneficiosuatre.com.ar con pantalla de registro para afiliados, aparentemente un programa de descuentos/beneficios comerciales. El contenido no pudo leerse (carga dinámica); se infiere que el afiliado se registra y accede a un catálogo de beneficios.</t>
  </si>
  <si>
    <t xml:space="preserve">https://beneficiosuatre.com.ar/register</t>
  </si>
  <si>
    <t xml:space="preserve">Plataforma de beneficios: Beneficios; uso en P19.</t>
  </si>
  <si>
    <t xml:space="preserve">UATRE-4</t>
  </si>
  <si>
    <t xml:space="preserve">Sistema de sorteos de beneficios</t>
  </si>
  <si>
    <t xml:space="preserve">Plataforma web propia (uatresorteos.com.ar) titulada 'Sistema de Sorteos de Beneficios UATRE' donde presumiblemente los afiliados se inscriben y participan de sorteos de beneficios (electrodomésticos, estadías, etc.). No se pudo leer el detalle; queda como idea a verificar.</t>
  </si>
  <si>
    <t xml:space="preserve">https://www.uatresorteos.com.ar/</t>
  </si>
  <si>
    <t xml:space="preserve">P24, P31</t>
  </si>
  <si>
    <t xml:space="preserve">Sorteo auditable (P31, ola 2).</t>
  </si>
  <si>
    <t xml:space="preserve">UATRE-5</t>
  </si>
  <si>
    <t xml:space="preserve">Turismo social en hoteles y campings propios</t>
  </si>
  <si>
    <t xml:space="preserve">FUNDATRE administra 13 establecimientos propios (Hotel UATRE en Buenos Aires, Médano Blanco en Necochea, Termas de Campo, Hotel Eva Perón, Posada del Cerro, Panorama, complejos y campings) con tarifario publicado 2025-2026 para afiliados y familia. La reserva se gestiona por teléfono o mail (turismo2@/turismo3@fundatre.org.ar) con asesoramiento personalizado.</t>
  </si>
  <si>
    <t xml:space="preserve">https://fundatre.org.ar/turismo-social/</t>
  </si>
  <si>
    <t xml:space="preserve">P20, P34</t>
  </si>
  <si>
    <t xml:space="preserve">UATRE-6</t>
  </si>
  <si>
    <t xml:space="preserve">Red de más de 70 hoteles por convenio y descuentos en agencias/transporte</t>
  </si>
  <si>
    <t xml:space="preserve">Convenios con más de 70 hoteles en 15 provincias, descuentos en agencias de viaje asociadas y convenios de transporte (Ruta Atlántica, El Pulqui). El afiliado consulta el tarifario y coordina la reserva con el área de Turismo Social de FUNDATRE.</t>
  </si>
  <si>
    <t xml:space="preserve">Hoteles por convenio y descuentos: Beneficios; reservas en P20.</t>
  </si>
  <si>
    <t xml:space="preserve">UATRE-7</t>
  </si>
  <si>
    <t xml:space="preserve">Luna de miel gratuita y excursiones</t>
  </si>
  <si>
    <t xml:space="preserve">Los afiliados recién casados acceden a una semana de alojamiento gratuito en hoteles propios; además hay visitas guiadas gratuitas y excursiones de día completo organizadas por FUNDATRE. Se coordina con Turismo Social por mail/teléfono.</t>
  </si>
  <si>
    <t xml:space="preserve">Luna de miel gratuita: voucher (P02).</t>
  </si>
  <si>
    <t xml:space="preserve">UATRE-8</t>
  </si>
  <si>
    <t xml:space="preserve">Noches gratis para afiliados con CUD y tarifas para jubilados</t>
  </si>
  <si>
    <t xml:space="preserve">Afiliados con Certificado Único de Discapacidad tienen hasta 4 noches sin cargo en hoteles propios; jubilados y ex trabajadores rurales acceden a tarifas especiales. Requiere presentar el CUD o la condición de jubilado y reservar con anticipación por mail/teléfono.</t>
  </si>
  <si>
    <t xml:space="preserve">https://fundatre.org.ar/beneficios-para-afiliados-con-capacidades-diferentes-y-jubilados/</t>
  </si>
  <si>
    <t xml:space="preserve">UATRE-9</t>
  </si>
  <si>
    <t xml:space="preserve">Programa 'Camino al Cole' (kits escolares por concurso)</t>
  </si>
  <si>
    <t xml:space="preserve">Concurso anual de FUNDATRE para hijos de trabajadores rurales, con entrega de útiles/kits escolares y donaciones de artículos escolares. La participación se anuncia cada año; la inscripción y entrega se canalizan vía la fundación y las seccionales.</t>
  </si>
  <si>
    <t xml:space="preserve">https://fundatre.org.ar/camino-al-cole/</t>
  </si>
  <si>
    <t xml:space="preserve">Camino al Cole: campaña (P04).</t>
  </si>
  <si>
    <t xml:space="preserve">UATRE-10</t>
  </si>
  <si>
    <t xml:space="preserve">Programa 'Abrigo Solidario' y asistencia con mercadería</t>
  </si>
  <si>
    <t xml:space="preserve">Asistencia con prendas de abrigo, alimentos y artículos de higiene a familias rurales, financiada con donaciones (transferencia deducible de ganancias o mercadería). La entrega es presencial a través de la fundación y seccionales.</t>
  </si>
  <si>
    <t xml:space="preserve">https://fundatre.org.ar/abrigo-solidario/</t>
  </si>
  <si>
    <t xml:space="preserve">Asistencia con mercadería: logística presencial (difusión en Novedades).</t>
  </si>
  <si>
    <t xml:space="preserve">UATRE-11</t>
  </si>
  <si>
    <t xml:space="preserve">Sección Empleadores</t>
  </si>
  <si>
    <t xml:space="preserve">El sitio principal tiene una sección específica para empleadores rurales (aportes, convenios, RENATRE), separada de la de afiliados. No pudo leerse por bloqueo 403.</t>
  </si>
  <si>
    <t xml:space="preserve">https://www.uatre.org.ar/empleadores</t>
  </si>
  <si>
    <t xml:space="preserve">Sección empleadores: Empleadores hoy; boletas y aportes en P15.</t>
  </si>
  <si>
    <t xml:space="preserve">UATRE-12</t>
  </si>
  <si>
    <t xml:space="preserve">Sección Gremiales (convenios y escalas)</t>
  </si>
  <si>
    <t xml:space="preserve">Sección 'Gremiales' del sitio con información de convenios y resoluciones salariales rurales (CNTA). No pudo leerse por bloqueo 403; se lista para que se verifique manualmente.</t>
  </si>
  <si>
    <t xml:space="preserve">https://www.uatre.org.ar/gremiales</t>
  </si>
  <si>
    <t xml:space="preserve">UECARA-1</t>
  </si>
  <si>
    <t xml:space="preserve">Afiliación sindical (formulario PDF)</t>
  </si>
  <si>
    <t xml:space="preserve">Solicitud de afiliación descargable en PDF desde la sección Formularios, a presentar en sede/delegación o por mail. No hay afiliación online.</t>
  </si>
  <si>
    <t xml:space="preserve">https://uecara.org.ar/formularios/</t>
  </si>
  <si>
    <t xml:space="preserve">UECARA-2</t>
  </si>
  <si>
    <t xml:space="preserve">Portal UECARA Online para DDJJ de empresas</t>
  </si>
  <si>
    <t xml:space="preserve">Portal con login donde los empleadores presentan declaraciones juradas y liquidan aportes y contribuciones del CCT 660/13. Complementado con formularios PDF de empadronamiento de empresa, nomenclador de actividades y tabla de aportes. Servicio a empleadores.</t>
  </si>
  <si>
    <t xml:space="preserve">http://www.uecaraonline.com.ar/</t>
  </si>
  <si>
    <t xml:space="preserve">DDJJ de empresas: P15.</t>
  </si>
  <si>
    <t xml:space="preserve">UECARA-3</t>
  </si>
  <si>
    <t xml:space="preserve">Escalas salariales y acuerdos paritarios (PDF cronológico)</t>
  </si>
  <si>
    <t xml:space="preserve">Sección Salarios con todos los acuerdos, homologaciones y tablas salariales del CCT 660/13 desde 2013 hasta el acuerdo sep-nov 2026, ordenados de más reciente a más antiguo, cada uno como PDF descargable. Sin buscador por categoría ni calculadora.</t>
  </si>
  <si>
    <t xml:space="preserve">https://uecara.org.ar/salarios/</t>
  </si>
  <si>
    <t xml:space="preserve">Escalas: Fórmulas + Novedades; buscador en P14.</t>
  </si>
  <si>
    <t xml:space="preserve">UECARA-4</t>
  </si>
  <si>
    <t xml:space="preserve">Asesoramiento gremial y jurídico</t>
  </si>
  <si>
    <t xml:space="preserve">Atención del área Gremiales (tel. 6091-7900 internos 1021-1024, gremiales@uecara.org.ar) y asesoría jurídica para afiliados en conflictos laborales. Contacto por teléfono, mail, WhatsApp o delegación; sin turnos online.</t>
  </si>
  <si>
    <t xml:space="preserve">https://uecara.org.ar/beneficios/asesoramiento-juridico/</t>
  </si>
  <si>
    <t xml:space="preserve">Asesoramiento: consulta por trámite; turnos en P12.</t>
  </si>
  <si>
    <t xml:space="preserve">UECARA-5</t>
  </si>
  <si>
    <t xml:space="preserve">Kit escolar anual con ventana de inscripción</t>
  </si>
  <si>
    <t xml:space="preserve">Entrega anual de set escolar para hijos de afiliados con campaña acotada (2 de febrero al 13 de marzo de 2026). Requisitos: DNI del titular, último recibo de sueldo, constancia de alumno regular/boletín, y estar inscripto previamente en el sitio web. Se retira en la delegación coordinando con el área Gremiales.</t>
  </si>
  <si>
    <t xml:space="preserve">https://uecara.org.ar/beneficios/ayuda-escolar-anual/</t>
  </si>
  <si>
    <t xml:space="preserve">Kit escolar con ventana e inscripción previa (P04).</t>
  </si>
  <si>
    <t xml:space="preserve">UECARA-6</t>
  </si>
  <si>
    <t xml:space="preserve">Set de nacimiento</t>
  </si>
  <si>
    <t xml:space="preserve">Entrega de un set de productos para el recién nacido de afiliados, con presentación de documentación en delegación.</t>
  </si>
  <si>
    <t xml:space="preserve">https://uecara.org.ar/beneficios/set-de-nacimiento/</t>
  </si>
  <si>
    <t xml:space="preserve">Set de nacimiento (P01).</t>
  </si>
  <si>
    <t xml:space="preserve">UECARA-7</t>
  </si>
  <si>
    <t xml:space="preserve">Noche de bodas o luna de miel</t>
  </si>
  <si>
    <t xml:space="preserve">Beneficio de alojamiento (noche de bodas o luna de miel) para afiliados que se casan, acreditando el matrimonio ante el sindicato.</t>
  </si>
  <si>
    <t xml:space="preserve">https://uecara.org.ar/beneficios/noche-de-bodas-y-luna-de-miel/</t>
  </si>
  <si>
    <t xml:space="preserve">UECARA-8</t>
  </si>
  <si>
    <t xml:space="preserve">Seguro colectivo de sepelio</t>
  </si>
  <si>
    <t xml:space="preserve">Cobertura colectiva de sepelio para afiliados; gestión presencial ante el sindicato.</t>
  </si>
  <si>
    <t xml:space="preserve">https://uecara.org.ar/beneficios/seguro-colectivo-de-sepelio/</t>
  </si>
  <si>
    <t xml:space="preserve">UECARA-9</t>
  </si>
  <si>
    <t xml:space="preserve">Centro recreativo Tigre y red de centros/campings</t>
  </si>
  <si>
    <t xml:space="preserve">Predio propio de 40.000 m2 en Tigre con natatorio de 1.200 m2, canchas, 30 quinchos, 300 parrillas, restaurante, salón para 300 y centro médico en verano. Ingreso gratuito para afiliado y grupo familiar primario presentando credencial, recibo y DNI; puede llevar hasta 4 adultos y 4 menores invitados con arancel ($20.000/$15.000 en 2025/26); beneficiarios OSPATCA no afiliados pagan tarifa mayor. Centros zonales en Berazategui, Campana, La Plata, Merlo, San Nicolás, San Vicente, Moreno y campings en Jujuy, Misiones, Neuquén, Santa Fe y Tucumán.</t>
  </si>
  <si>
    <t xml:space="preserve">https://uecara.org.ar/beneficios/centros-recreativos/</t>
  </si>
  <si>
    <t xml:space="preserve">P03, P05, P20</t>
  </si>
  <si>
    <t xml:space="preserve">UECARA-10</t>
  </si>
  <si>
    <t xml:space="preserve">Colonia de vacaciones e iniciación deportiva</t>
  </si>
  <si>
    <t xml:space="preserve">Colonia de verano y escuelas deportivas para hijos de afiliados en los centros recreativos; inscripción en delegación/centro.</t>
  </si>
  <si>
    <t xml:space="preserve">https://uecara.org.ar/beneficios/colonia-e-iniciacion-deportiva/</t>
  </si>
  <si>
    <t xml:space="preserve">Colonia y escuelas deportivas: inscripciones (P04).</t>
  </si>
  <si>
    <t xml:space="preserve">UECARA-11</t>
  </si>
  <si>
    <t xml:space="preserve">Turismo y deportes</t>
  </si>
  <si>
    <t xml:space="preserve">Oferta de turismo (destinos y alojamientos con tarifa para afiliados) y torneos/actividades deportivas. Gestión por mail/teléfono/WhatsApp.</t>
  </si>
  <si>
    <t xml:space="preserve">https://uecara.org.ar/beneficios/turismo-y-deportes/</t>
  </si>
  <si>
    <t xml:space="preserve">UECARA-12</t>
  </si>
  <si>
    <t xml:space="preserve">Cursos en centros UECARA certificados por la UTN (presencial + en vivo a distancia)</t>
  </si>
  <si>
    <t xml:space="preserve">Más de 30 cursos (Excel, AutoCAD, Revit, 3D Max, MS Project, IA aplicada a obras, cómputo y presupuesto, derecho laboral, liquidación de cargas sociales, Tango Gestión, RCP, oratoria, coaching, inglés en 4 niveles) dictados en los centros del sindicato en modalidad presencial y simultáneamente 'clase en vivo a distancia' para todo el país. Diploma certificado por UTN-FRBA. Preinscripción con formulario online; mínimo 10 inscriptos para abrir; arancel $30.000 para afiliados.</t>
  </si>
  <si>
    <t xml:space="preserve">https://uecara.org.ar/capacitaciones/capacitaciones-en-centros-de-uecara-certificadas-por-universidades/</t>
  </si>
  <si>
    <t xml:space="preserve">Cursos híbridos con preinscripción y mínimo (P22).</t>
  </si>
  <si>
    <t xml:space="preserve">UECARA-13</t>
  </si>
  <si>
    <t xml:space="preserve">Cursos de la UTN con 25% de descuento</t>
  </si>
  <si>
    <t xml:space="preserve">Convenio por el cual los afiliados acceden a la oferta de cursos de extensión de la UTN con 25% de descuento acreditando afiliación.</t>
  </si>
  <si>
    <t xml:space="preserve">https://uecara.org.ar/capacitaciones/capacitaciones-de-la-utn-con-descuento-25-a-afiliados-de-uecara/</t>
  </si>
  <si>
    <t xml:space="preserve">Convenio UTN: constancia con QR (P09).</t>
  </si>
  <si>
    <t xml:space="preserve">UECARA-14</t>
  </si>
  <si>
    <t xml:space="preserve">WhatsApp institucional</t>
  </si>
  <si>
    <t xml:space="preserve">Línea de WhatsApp publicada en el sitio para consultas generales de afiliados, junto a mail y teléfono central. No se indica si es bot o atención humana.</t>
  </si>
  <si>
    <t xml:space="preserve">UF-1</t>
  </si>
  <si>
    <t xml:space="preserve">Premio Estímulo Nivel Secundario</t>
  </si>
  <si>
    <t xml:space="preserve">Pago único anual para hijos de afiliados adheridos al PAS que cursan secundaria sin materias adeudadas. Se presenta certificado de alumno regular, constancia de no adeudar materias, último recibo de haberes, adhesión al PAS y CBU; el pago se acredita por transferencia. Plazo hasta el 31 de mayo.</t>
  </si>
  <si>
    <t xml:space="preserve">https://unionferroviaria.org.ar/plan-de-accion-social-pas/</t>
  </si>
  <si>
    <t xml:space="preserve">Premio estímulo como campaña con adjuntos (P04).</t>
  </si>
  <si>
    <t xml:space="preserve">UF-2</t>
  </si>
  <si>
    <t xml:space="preserve">Becas terciario/universitario y estudios especiales</t>
  </si>
  <si>
    <t xml:space="preserve">Beca anual para estudiantes que aprobaron el 50% de la carrera (renovable hasta 3 años consecutivos) y beca para alumnos de escuelas especiales (con certificado de discapacidad o diagnóstico). Se presentan plan de estudios, analítico, constancia de alumno regular, recibo, adhesión PAS y CBU antes del 15 de abril. El sitio no menciona formulario online.</t>
  </si>
  <si>
    <t xml:space="preserve">Becas como campaña con evaluación (P04).</t>
  </si>
  <si>
    <t xml:space="preserve">UF-3</t>
  </si>
  <si>
    <t xml:space="preserve">Guardapolvos y útiles escolares</t>
  </si>
  <si>
    <t xml:space="preserve">Provisión de guardapolvo y kit de útiles para hijos en nivel primario de afiliados adheridos al PAS. Solo requiere último recibo de haberes y adhesión al PAS, con plazo hasta el 31 de octubre.</t>
  </si>
  <si>
    <t xml:space="preserve">Guardapolvos y útiles: campaña (P04).</t>
  </si>
  <si>
    <t xml:space="preserve">UF-4</t>
  </si>
  <si>
    <t xml:space="preserve">Biblioteca y convenio librería El Alumno</t>
  </si>
  <si>
    <t xml:space="preserve">Servicio de biblioteca con libros de estudio de todos los niveles para socios adheridos al PAS, más convenio con la librería El Alumno (10% en textos escolares, 15% en libros de idiomas) que requiere autorización emitida por la biblioteca del gremio.</t>
  </si>
  <si>
    <t xml:space="preserve">Biblioteca y convenio librería: constancia (P09) y Beneficios.</t>
  </si>
  <si>
    <t xml:space="preserve">UF-5</t>
  </si>
  <si>
    <t xml:space="preserve">Regalo por casamiento y luna de miel</t>
  </si>
  <si>
    <t xml:space="preserve">10 días de estadía gratis con media pensión en un centro turístico propio, con pasajes en micro incluidos; si no puede viajar se entrega el equivalente en efectivo. Se solicita 60 días antes del casamiento con recibo y adhesión PAS. Además hay un pago por luna de miel (hasta 60 días después) que se acredita por CBU con el certificado de matrimonio.</t>
  </si>
  <si>
    <t xml:space="preserve">Regalo por casamiento: voucher + pago (P02/P01).</t>
  </si>
  <si>
    <t xml:space="preserve">UF-6</t>
  </si>
  <si>
    <t xml:space="preserve">Regalo por nacimiento y beneficio por natalidad</t>
  </si>
  <si>
    <t xml:space="preserve">Ajuar y cochecito para el recién nacido, solicitado 60 días antes de la fecha probable de parto con certificado prenatal; más un pago complementario por nacimiento o adopción (hasta 60 días después) acreditado por CBU.</t>
  </si>
  <si>
    <t xml:space="preserve">Ajuar y pago por nacimiento (P01).</t>
  </si>
  <si>
    <t xml:space="preserve">UF-7</t>
  </si>
  <si>
    <t xml:space="preserve">Premio reconocimiento a jubilados y vitalicios</t>
  </si>
  <si>
    <t xml:space="preserve">Al jubilarse, 10 días de estadía gratis con pensión completa para el afiliado y un acompañante en la Colonia Evita (Alta Gracia, Córdoba), con micro incluido, o el equivalente en efectivo. Se pide durante el año posterior a la jubilación con la primera liquidación de ANSES y el último recibo en actividad.</t>
  </si>
  <si>
    <t xml:space="preserve">Premio a jubilados: voucher (P02).</t>
  </si>
  <si>
    <t xml:space="preserve">UF-8</t>
  </si>
  <si>
    <t xml:space="preserve">Servicio jurídico y previsional</t>
  </si>
  <si>
    <t xml:space="preserve">Asesoramiento jurídico y previsional para socios del PAS. El sitio solo lo enuncia; no indica turnos ni canal online.</t>
  </si>
  <si>
    <t xml:space="preserve">Servicio jurídico y previsional: consulta por trámite; turnos en P12.</t>
  </si>
  <si>
    <t xml:space="preserve">UF-9</t>
  </si>
  <si>
    <t xml:space="preserve">Servicio de sepelio y cobertura de prótesis (Fondo de Sepelio)</t>
  </si>
  <si>
    <t xml:space="preserve">Cobertura nacional de sepelio para afiliado, grupo familiar primario y dependientes, con 100% de reintegro a través de la red de cocherías adheridas a la aseguradora Sol Naciente; línea 0800 de emergencias 24/7. El mismo fondo cubre 50% de prótesis u órtesis no incluidas en el PMO. Requiere adhesión al Fondo de Sepelio y recibo.</t>
  </si>
  <si>
    <t xml:space="preserve">P07, P29</t>
  </si>
  <si>
    <t xml:space="preserve">Fondo de sepelio: ficha de emergencias y subsidio (P29/P01); la parte de prótesis queda fuera.</t>
  </si>
  <si>
    <t xml:space="preserve">UF-10</t>
  </si>
  <si>
    <t xml:space="preserve">Ayuda económica personal (préstamos AMUF)</t>
  </si>
  <si>
    <t xml:space="preserve">Préstamos personales otorgados por la mutual AMUF con descuento por recibo de haberes. El afiliado presenta solicitud firmada, autorización de descuento, garante, DNI y recibo de ambos, certificado de domicilio y CBU. La mutual menciona una plataforma SEAMUF para seguimiento de solicitudes, pero la carga es con formulario físico.</t>
  </si>
  <si>
    <t xml:space="preserve">https://mutualuf.ar/mutualuf/</t>
  </si>
  <si>
    <t xml:space="preserve">P06, P34</t>
  </si>
  <si>
    <t xml:space="preserve">Préstamos AMUF (P06/P34).</t>
  </si>
  <si>
    <t xml:space="preserve">UF-11</t>
  </si>
  <si>
    <t xml:space="preserve">Proveeduría online AMUF</t>
  </si>
  <si>
    <t xml:space="preserve">Tienda web de la mutual con electrodomésticos (TV, aire acondicionado, heladeras, lavarropas, etc.) a precios preferenciales. El asociado crea una cuenta, elige el producto, paga con depósito, tarjeta o préstamo AMUF y recibe el envío a domicilio.</t>
  </si>
  <si>
    <t xml:space="preserve">https://www.mutualamuf.com.ar/servicios_proveeduria_online.php</t>
  </si>
  <si>
    <t xml:space="preserve">Proveeduría online de la mutual (P24/P34).</t>
  </si>
  <si>
    <t xml:space="preserve">UF-12</t>
  </si>
  <si>
    <t xml:space="preserve">Turismo: hoteles y colonia propios</t>
  </si>
  <si>
    <t xml:space="preserve">Hotel 6 de Octubre, Hotel Juan D. Perón, Colonia de Vacaciones Evita (Alta Gracia) y Hotel Astor (gestionado por AMUF). Las reservas se hacen por teléfono o mail a PAS Turismo o a la mutual; no hay reserva online ni tarifas publicadas.</t>
  </si>
  <si>
    <t xml:space="preserve">https://unionferroviaria.org.ar/turismo/</t>
  </si>
  <si>
    <t xml:space="preserve">UF-13</t>
  </si>
  <si>
    <t xml:space="preserve">Predios, polideportivos y centros recreativos</t>
  </si>
  <si>
    <t xml:space="preserve">Instalaciones deportivas y de esparcimiento para afiliados y familias, listadas en el menú Beneficios. El sitio no detalla cómo se accede ni si hay inscripción previa.</t>
  </si>
  <si>
    <t xml:space="preserve">https://unionferroviaria.org.ar/otros-beneficios/</t>
  </si>
  <si>
    <t xml:space="preserve">UF-14</t>
  </si>
  <si>
    <t xml:space="preserve">Instituto 6 de Octubre: formación y terminalidad</t>
  </si>
  <si>
    <t xml:space="preserve">Centro de formación propio con terminalidad secundaria (Plan Fines / Adultos 2000), tecnicaturas, convenio universitario para ingeniería con orientación ferroviaria, cursos de informática, seguridad e higiene, liderazgo, RCP y fotografía, y programa de formación de formadores y dirigentes. El sitio no explica inscripción ni modalidad virtual/presencial.</t>
  </si>
  <si>
    <t xml:space="preserve">https://unionferroviaria.org.ar/capacitar-y-formar/</t>
  </si>
  <si>
    <t xml:space="preserve">Instituto: P22.</t>
  </si>
  <si>
    <t xml:space="preserve">UF-15</t>
  </si>
  <si>
    <t xml:space="preserve">Circulares, comunicados y revista El Obrero Ferroviario</t>
  </si>
  <si>
    <t xml:space="preserve">Publicación web de circulares generales y parciales (incluyen acuerdos salariales), comunicados y la revista institucional. Además hay newsletter con suscripción por formulario y redes sociales (Facebook, X, Instagram, YouTube).</t>
  </si>
  <si>
    <t xml:space="preserve">Circulares: Novedades.</t>
  </si>
  <si>
    <t xml:space="preserve">UF-16</t>
  </si>
  <si>
    <t xml:space="preserve">Espacios Juventud, Mujeres Ferroviarias y Adultos Mayores</t>
  </si>
  <si>
    <t xml:space="preserve">Secciones 'Sumate' con agrupamientos por colectivo (juventud, género, jubilados). El sitio los presenta como espacios de participación; no detalla actividades concretas.</t>
  </si>
  <si>
    <t xml:space="preserve">Espacios por colectivo: segmentación de notificaciones y noticias.</t>
  </si>
  <si>
    <t xml:space="preserve">UOMA-1</t>
  </si>
  <si>
    <t xml:space="preserve">Simulador salarial</t>
  </si>
  <si>
    <t xml:space="preserve">Herramienta online en la web que calcula una estimación de salario según provincia, localidad, categoría y antigüedad del trabajador molinero, con aclaración de que es orientativo. Abierto a cualquier visitante, sin login.</t>
  </si>
  <si>
    <t xml:space="preserve">https://www.uoma.org.ar/simulador.html</t>
  </si>
  <si>
    <t xml:space="preserve">P14, P25</t>
  </si>
  <si>
    <t xml:space="preserve">Simulador salarial por provincia y categoría (P14, ola 1).</t>
  </si>
  <si>
    <t xml:space="preserve">UOMA-2</t>
  </si>
  <si>
    <t xml:space="preserve">Escalas salariales y acuerdos por cámara</t>
  </si>
  <si>
    <t xml:space="preserve">Publicación de escalas salariales por cámara empresaria (FAIM, etc.) y categoría, con los acuerdos paritarios en PDF descargables.</t>
  </si>
  <si>
    <t xml:space="preserve">https://www.uoma.org.ar/escalas.html</t>
  </si>
  <si>
    <t xml:space="preserve">Escalas por cámara: Fórmulas + Novedades; buscador en P14.</t>
  </si>
  <si>
    <t xml:space="preserve">UOMA-3</t>
  </si>
  <si>
    <t xml:space="preserve">Consulta a Legales (formulario web, abierto a no afiliados)</t>
  </si>
  <si>
    <t xml:space="preserve">Formulario web con nombre, DNI, teléfono, mail, asunto y mensaje para consultas legales/laborales; el área legal de UOMA responde. El formulario tiene un campo para indicar si el consultante es afiliado o no, es decir que se acepta la consulta de no afiliados.</t>
  </si>
  <si>
    <t xml:space="preserve">https://www.uoma.org.ar/legales.html</t>
  </si>
  <si>
    <t xml:space="preserve">P03, P10, P17</t>
  </si>
  <si>
    <t xml:space="preserve">Consulta abierta a no afiliados: trámites + versión abierta (P03).</t>
  </si>
  <si>
    <t xml:space="preserve">UOMA-4</t>
  </si>
  <si>
    <t xml:space="preserve">Accidentes laborales (información y consulta)</t>
  </si>
  <si>
    <t xml:space="preserve">Sección en el menú de servicios con información y canal de consulta sobre accidentes de trabajo/ART. La página no cargó (404) al momento del relevamiento.</t>
  </si>
  <si>
    <t xml:space="preserve">Accidentes laborales: consulta por trámite; encuesta de condiciones (P30).</t>
  </si>
  <si>
    <t xml:space="preserve">UOMA-5</t>
  </si>
  <si>
    <t xml:space="preserve">Afiliación con formulario PDF</t>
  </si>
  <si>
    <t xml:space="preserve">El trabajador descarga el formulario de afiliación en PDF desde la sección Beneficios y lo presenta en la seccional/oficina. No hay afiliación online.</t>
  </si>
  <si>
    <t xml:space="preserve">https://www.uoma.org.ar/beneficios.html</t>
  </si>
  <si>
    <t xml:space="preserve">UOMA-6</t>
  </si>
  <si>
    <t xml:space="preserve">Cobertura económica ante el fallecimiento del afiliado; se descarga el formulario de solicitud y el documento con la cobertura vigente y se tramita en oficinas.</t>
  </si>
  <si>
    <t xml:space="preserve">UOMA-7</t>
  </si>
  <si>
    <t xml:space="preserve">Subsidio por salarios caídos</t>
  </si>
  <si>
    <t xml:space="preserve">Cobertura sindical por pérdida de ingresos (salarios caídos) con documento descargable que detalla montos y requisitos; se tramita con el sindicato.</t>
  </si>
  <si>
    <t xml:space="preserve">P01, P32</t>
  </si>
  <si>
    <t xml:space="preserve">Salarios caídos detectables desde el recibo (P32); como subsidio simple entra en P01.</t>
  </si>
  <si>
    <t xml:space="preserve">UOMA-8</t>
  </si>
  <si>
    <t xml:space="preserve">Turismo: hoteles propios</t>
  </si>
  <si>
    <t xml:space="preserve">Tres hoteles: Hotel Treinta Seis (Mar del Plata, con spa y gimnasio), Los Diques Resort &amp; Spa (Huerta Grande, Córdoba, con cabañas y canchas) y Hotel Eva Perón (Necochea). Cada hotel publica tarifas 2026 y se reserva por mail, teléfono o sitio propio del hotel.</t>
  </si>
  <si>
    <t xml:space="preserve">https://www.uoma.org.ar/turismo.html</t>
  </si>
  <si>
    <t xml:space="preserve">UOMA-9</t>
  </si>
  <si>
    <t xml:space="preserve">Kit escolar, mochilas y subsidio de escolaridad (AMTIMA)</t>
  </si>
  <si>
    <t xml:space="preserve">La mutual entrega kits escolares, mochilas y subsidios económicos para hijos en edad escolar de los asociados, incluido en la cuota mutual. Gestión a través de las filiales, mail o WhatsApp de AMTIMA.</t>
  </si>
  <si>
    <t xml:space="preserve">https://amtima.org.ar/inicio/escolaridad</t>
  </si>
  <si>
    <t xml:space="preserve">P04, P34</t>
  </si>
  <si>
    <t xml:space="preserve">Kits y subsidios escolares: campaña (P04); mutual como entidad (P34).</t>
  </si>
  <si>
    <t xml:space="preserve">UOMA-10</t>
  </si>
  <si>
    <t xml:space="preserve">Plan maternidad: practicuna y butaca infantil (AMTIMA)</t>
  </si>
  <si>
    <t xml:space="preserve">Acompañamiento desde el primer día del embarazo con entrega de practicuna y butaca infantil (para segundas y posteriores gestaciones), sin cargo extra a la cuota mutual.</t>
  </si>
  <si>
    <t xml:space="preserve">https://amtima.org.ar/inicio/maternidad</t>
  </si>
  <si>
    <t xml:space="preserve">Plan maternidad: subsidio en especie (P01) con grupo familiar (P05).</t>
  </si>
  <si>
    <t xml:space="preserve">UOMA-11</t>
  </si>
  <si>
    <t xml:space="preserve">Viaje de bodas (AMTIMA)</t>
  </si>
  <si>
    <t xml:space="preserve">Beneficio de viaje/paquete para asociados recién casados gestionado por la mutual.</t>
  </si>
  <si>
    <t xml:space="preserve">https://amtima.org.ar/inicio/viaje-de-bodas/</t>
  </si>
  <si>
    <t xml:space="preserve">UOMA-12</t>
  </si>
  <si>
    <t xml:space="preserve">Turismo mutual (AMTIMA)</t>
  </si>
  <si>
    <t xml:space="preserve">Paquetes turísticos y beneficios para vacaciones de los asociados a la mutual, complementarios a los hoteles del sindicato.</t>
  </si>
  <si>
    <t xml:space="preserve">https://amtima.org.ar/inicio/turismo/</t>
  </si>
  <si>
    <t xml:space="preserve">UOMA-13</t>
  </si>
  <si>
    <t xml:space="preserve">Telemedicina (AMTIMA)</t>
  </si>
  <si>
    <t xml:space="preserve">Consultas médicas online sin costo para asociados de la mutual (se incluye porque lo presta la mutual y no la obra social).</t>
  </si>
  <si>
    <t xml:space="preserve">https://amtima.org.ar/inicio/</t>
  </si>
  <si>
    <t xml:space="preserve">Telemedicina: prestación de salud.</t>
  </si>
  <si>
    <t xml:space="preserve">UOMA-14</t>
  </si>
  <si>
    <t xml:space="preserve">App Molineros (OSPIM+UOMA+AMTIMA)</t>
  </si>
  <si>
    <t xml:space="preserve">App conjunta con credencial digital, cartilla, reintegros y autorizaciones y canales de contacto. Es principalmente de la obra social; se incluye porque es el único canal móvil que menciona al sindicato y a la mutual.</t>
  </si>
  <si>
    <t xml:space="preserve">https://play.google.com/store/apps/details?id=com.ospim.molineros&amp;hl=es</t>
  </si>
  <si>
    <t xml:space="preserve">Credencial y canal en la app del trabajador (la parte de obra social queda fuera).</t>
  </si>
  <si>
    <t xml:space="preserve">UOMA-15</t>
  </si>
  <si>
    <t xml:space="preserve">Comunicados y circulares</t>
  </si>
  <si>
    <t xml:space="preserve">Novedades oficiales para trabajadores y seccionales y circulares institucionales publicadas en la web, más galería de fotos.</t>
  </si>
  <si>
    <t xml:space="preserve">https://www.uoma.org.ar/circulares.html</t>
  </si>
  <si>
    <t xml:space="preserve">Comunicados y circulares: Novedades.</t>
  </si>
  <si>
    <t xml:space="preserve">UOMA-16</t>
  </si>
  <si>
    <t xml:space="preserve">Portal empleadores</t>
  </si>
  <si>
    <t xml:space="preserve">Portal con login para empresas molineras para declarar y pagar aportes y contribuciones sindicales.</t>
  </si>
  <si>
    <t xml:space="preserve">https://uomaempleadores.org.ar/empleadores/#/login</t>
  </si>
  <si>
    <t xml:space="preserve">Portal empleadores: P15.</t>
  </si>
  <si>
    <t xml:space="preserve">UPACP-1</t>
  </si>
  <si>
    <t xml:space="preserve">Calculadora de sueldos CIDCP</t>
  </si>
  <si>
    <t xml:space="preserve">Herramienta web anónima que calcula salario mensual/diario/por hora, antigüedad, adicionales no remunerativos, feriados, vacaciones, aguinaldo, liquidación final e indemnización según la escala vigente. Dirigida a trabajadoras/es, empleadores/as y cualquier interesado; el resultado se descarga, comparte o imprime, con aviso de que es orientativa y sin validez legal.</t>
  </si>
  <si>
    <t xml:space="preserve">https://upacp.org.ar/?page_id=30176</t>
  </si>
  <si>
    <t xml:space="preserve">Calculadora con liquidación final (P14).</t>
  </si>
  <si>
    <t xml:space="preserve">UPACP-2</t>
  </si>
  <si>
    <t xml:space="preserve">Escalas salariales y tabla de aportes</t>
  </si>
  <si>
    <t xml:space="preserve">Páginas con categorías y remuneraciones vigentes según las resoluciones de la Comisión Nacional de Trabajo en Casas Particulares, y montos mensuales de aportes que deben pagar los empleadores. Consulta abierta para todo el rubro.</t>
  </si>
  <si>
    <t xml:space="preserve">https://upacp.org.ar/?page_id=26745</t>
  </si>
  <si>
    <t xml:space="preserve">Escalas y tabla de aportes en Novedades y Fórmulas; calculadora en P14.</t>
  </si>
  <si>
    <t xml:space="preserve">UPACP-3</t>
  </si>
  <si>
    <t xml:space="preserve">Guías laborales y formularios (PDF)</t>
  </si>
  <si>
    <t xml:space="preserve">Documentos descargables para trabajadoras y empleadores: guía de derechos (Ley 26.844), registro de empleadas/os, liquidación de sueldos, formularios modelo. Autoservicio informativo abierto.</t>
  </si>
  <si>
    <t xml:space="preserve">Guías y formularios abiertos (P18, ola 1).</t>
  </si>
  <si>
    <t xml:space="preserve">UPACP-4</t>
  </si>
  <si>
    <t xml:space="preserve">La afiliación se hace en la sede central (México 1611, CABA) o delegaciones, con fotocopia de DNI, comprobante de domicilio, dos fotos 4x4 y pago de la cuota mensual. No hay formulario online.</t>
  </si>
  <si>
    <t xml:space="preserve">https://upacp.org.ar/?page_id=879</t>
  </si>
  <si>
    <t xml:space="preserve">UPACP-5</t>
  </si>
  <si>
    <t xml:space="preserve">Escuela ESDU – capacitación gratuita y terminalidad educativa</t>
  </si>
  <si>
    <t xml:space="preserve">Escuela propia con cursos y talleres gratuitos de formación profesional (cuidado de personas, cocina, etc.) y terminalidad primaria y secundaria para afiliadas/os. Oferta publicada en esdu.ar; inscripción presencial.</t>
  </si>
  <si>
    <t xml:space="preserve">https://upacp.org.ar/?page_id=941</t>
  </si>
  <si>
    <t xml:space="preserve">Escuela ESDU: P22.</t>
  </si>
  <si>
    <t xml:space="preserve">UPACP-6</t>
  </si>
  <si>
    <t xml:space="preserve">Bolsa de trabajo</t>
  </si>
  <si>
    <t xml:space="preserve">Intermediación laboral entre trabajadoras afiliadas y empleadores que buscan personal. Figura en el menú gremial; la gestión se hace en sede/delegación, sin plataforma online visible.</t>
  </si>
  <si>
    <t xml:space="preserve">Bolsa de trabajo del rubro (P21, ola 2).</t>
  </si>
  <si>
    <t xml:space="preserve">UPACP-7</t>
  </si>
  <si>
    <t xml:space="preserve">Consultoría legal para afiliadas/os sobre conflictos laborales, despidos y derechos de la Ley 26.844, con referencia al Tribunal de Trabajo para el Personal de Casas Particulares. Atención presencial en sede y delegaciones.</t>
  </si>
  <si>
    <t xml:space="preserve">UPACP-8</t>
  </si>
  <si>
    <t xml:space="preserve">Asesoramiento previsional</t>
  </si>
  <si>
    <t xml:space="preserve">Orientación sobre jubilación, pensión y retiro para afiliadas/os, brindada en sedes y delegaciones.</t>
  </si>
  <si>
    <t xml:space="preserve">UPACP-9</t>
  </si>
  <si>
    <t xml:space="preserve">Información sobre ART y deducción de Ganancias</t>
  </si>
  <si>
    <t xml:space="preserve">Páginas informativas sobre la cobertura de riesgos del trabajo para el sector y sobre cómo el empleador deduce el salario del personal doméstico en Ganancias. Contenido dirigido a ambas partes de la relación laboral.</t>
  </si>
  <si>
    <t xml:space="preserve">Contenido abierto para no afiliados (P18).</t>
  </si>
  <si>
    <t xml:space="preserve">UPACP-10</t>
  </si>
  <si>
    <t xml:space="preserve">Turismo social sindical y recreación</t>
  </si>
  <si>
    <t xml:space="preserve">Opciones de turismo con valores preferenciales para afiliadas/os. La web solo lo enuncia; la consulta y reserva es en la sede más cercana.</t>
  </si>
  <si>
    <t xml:space="preserve">UPACP-11</t>
  </si>
  <si>
    <t xml:space="preserve">Delegaciones y preguntas frecuentes</t>
  </si>
  <si>
    <t xml:space="preserve">Listado de delegaciones para asesoramiento y consultas sobre beneficios, más sección de preguntas frecuentes en la web y derivación a la Línea 144 (WhatsApp) para violencia de género.</t>
  </si>
  <si>
    <t xml:space="preserve">https://upacp.org.ar/?page_id=26585</t>
  </si>
  <si>
    <t xml:space="preserve">P18, P28</t>
  </si>
  <si>
    <t xml:space="preserve">Delegaciones y FAQ (P28/P18, ola 1).</t>
  </si>
  <si>
    <t xml:space="preserve">UPJET-1</t>
  </si>
  <si>
    <t xml:space="preserve">Afiliación semi-online</t>
  </si>
  <si>
    <t xml:space="preserve">El trabajador descarga el formulario PDF, lo completa y lo entrega en sede o al delegado con copia de DNI y último recibo. Para agilizar puede enviar todo digitalizado a administracion@upjet.org.ar, pero luego debe presentar el papel firmado.</t>
  </si>
  <si>
    <t xml:space="preserve">https://upjet.org.ar/afiliacion</t>
  </si>
  <si>
    <t xml:space="preserve">Afiliación semi-online → online (P08).</t>
  </si>
  <si>
    <t xml:space="preserve">UPJET-2</t>
  </si>
  <si>
    <t xml:space="preserve">Autogestión online (en construcción)</t>
  </si>
  <si>
    <t xml:space="preserve">Página que anuncia un futuro sistema de autogestión de trámites; hoy muestra imagen de 'en construcción' y remite al login upjetlogin y a contacto telefónico/mail. Señal de intención de digitalizar. [Reclasificado a semi-online: anunciado, en construcción.]</t>
  </si>
  <si>
    <t xml:space="preserve">https://upjet.org.ar/autogestion</t>
  </si>
  <si>
    <t xml:space="preserve">Autogestión online: app del trabajador.</t>
  </si>
  <si>
    <t xml:space="preserve">UPJET-3</t>
  </si>
  <si>
    <t xml:space="preserve">Actas salariales y convenios por empresa</t>
  </si>
  <si>
    <t xml:space="preserve">Repositorio de actas salariales separadas por empresa (COOP, Móviles, TASA, TECO) y convenios colectivos, descargables. Útil porque cada empresa tiene su acuerdo.</t>
  </si>
  <si>
    <t xml:space="preserve">https://upjet.org.ar/actas-documentos/</t>
  </si>
  <si>
    <t xml:space="preserve">Actas por empresa: Fórmulas por empleador + Novedades.</t>
  </si>
  <si>
    <t xml:space="preserve">UPJET-4</t>
  </si>
  <si>
    <t xml:space="preserve">Sección Teletrabajo</t>
  </si>
  <si>
    <t xml:space="preserve">Sección dedicada a normativa y acuerdos de teletrabajo del sector telecomunicaciones, con material para el afiliado que trabaja remoto.</t>
  </si>
  <si>
    <t xml:space="preserve">https://upjet.org.ar/teletrabajo/</t>
  </si>
  <si>
    <t xml:space="preserve">Sección teletrabajo: Novedades / biblioteca (P18).</t>
  </si>
  <si>
    <t xml:space="preserve">UPJET-5</t>
  </si>
  <si>
    <t xml:space="preserve">Subsidios por nacimiento, casamiento, adopción y fallecimiento</t>
  </si>
  <si>
    <t xml:space="preserve">Ayudas económicas puntuales ante eventos familiares, con requisito general de 6 meses de antigüedad como afiliado. Se solicitan con formulario presencial o por correo.</t>
  </si>
  <si>
    <t xml:space="preserve">https://upjet.org.ar/beneficios/</t>
  </si>
  <si>
    <t xml:space="preserve">Subsidios con 6 meses de antigüedad (P01).</t>
  </si>
  <si>
    <t xml:space="preserve">UPJET-6</t>
  </si>
  <si>
    <t xml:space="preserve">Ayuda escolar primaria y secundaria y ayuda económica general</t>
  </si>
  <si>
    <t xml:space="preserve">Subsidio escolar anual por hijo en primaria/secundaria y una ayuda económica general para situaciones de necesidad. Solicitud por formulario en sede o mail.</t>
  </si>
  <si>
    <t xml:space="preserve">Ayuda escolar: campaña (P04); ayuda económica general en P06.</t>
  </si>
  <si>
    <t xml:space="preserve">UPJET-7</t>
  </si>
  <si>
    <t xml:space="preserve">Gift card multimarca Día del Niño y obsequio de fin de año</t>
  </si>
  <si>
    <t xml:space="preserve">Entrega de una gift card multimarca por hijo para el Día del Niño y obsequio de fin de año a afiliados; también celebración del Día del Telefónico. Retiro/entrega vía delegados o sede.</t>
  </si>
  <si>
    <t xml:space="preserve">P02, P04, P24</t>
  </si>
  <si>
    <t xml:space="preserve">Gift card por hijo: voucher/bono (P02/P24).</t>
  </si>
  <si>
    <t xml:space="preserve">UPJET-8</t>
  </si>
  <si>
    <t xml:space="preserve">Asesoramiento profesional (previsional, contable-impositivo, legal laboral, civil, penal, comercial)</t>
  </si>
  <si>
    <t xml:space="preserve">Gabinete de asesores para afiliados en materia previsional, impuesto a las ganancias y bienes personales, laboral, civil, penal y comercial. Atención presencial en Castro Barros 87/89 o por mail.</t>
  </si>
  <si>
    <t xml:space="preserve">Gabinete de asesores: consulta por trámite; turnos en P12.</t>
  </si>
  <si>
    <t xml:space="preserve">UPJET-9</t>
  </si>
  <si>
    <t xml:space="preserve">Curso/asesoría IIGG y Bienes Personales</t>
  </si>
  <si>
    <t xml:space="preserve">Capacitación y guía específica para que el personal jerárquico (alcanzado por Ganancias) liquide impuestos; sección propia dentro de Capacitación.</t>
  </si>
  <si>
    <t xml:space="preserve">https://upjet.org.ar/iigg-y-bienes-personales/</t>
  </si>
  <si>
    <t xml:space="preserve">Curso de Ganancias: Capacitación (P22); asesoría contable por trámite hoy.</t>
  </si>
  <si>
    <t xml:space="preserve">UPJET-10</t>
  </si>
  <si>
    <t xml:space="preserve">Cursos con cronograma y convenios universitarios (UTN-FRBA, FLACSO, COPIME, Universidad a distancia)</t>
  </si>
  <si>
    <t xml:space="preserve">Cronograma de cursos propios (virtuales y presenciales) con currícula publicada, más convenios con UTN (cursos y posgrados), FLACSO, COPIME y educación a distancia con descuentos para afiliados. Inscripción por enlaces del portal.</t>
  </si>
  <si>
    <t xml:space="preserve">https://upjet.org.ar/cronograma-de-cursos/</t>
  </si>
  <si>
    <t xml:space="preserve">Cronograma de cursos y convenios: Capacitación (P22); constancia en P09.</t>
  </si>
  <si>
    <t xml:space="preserve">UPJET-11</t>
  </si>
  <si>
    <t xml:space="preserve">Capacitación para hijos de afiliados</t>
  </si>
  <si>
    <t xml:space="preserve">Programas educativos dirigidos a hijos de afiliados (idiomas/oficios según oferta), listados como prestación de Capacitación.</t>
  </si>
  <si>
    <t xml:space="preserve">Capacitación para hijos: P22.</t>
  </si>
  <si>
    <t xml:space="preserve">UPJET-12</t>
  </si>
  <si>
    <t xml:space="preserve">Turismo nacional con descuento (operador Pedraza)</t>
  </si>
  <si>
    <t xml:space="preserve">Paquetes de turismo nacional con salidas desde CABA, Rosario, Córdoba y Chacabuco, 10% de descuento pagando por transferencia o 7% con tarjeta, más turismo para jubilados y asesoramiento de reservas aéreas/alojamiento. Reservas por mail turismo@upjet.org.ar o teléfono.</t>
  </si>
  <si>
    <t xml:space="preserve">https://upjet.org.ar/turismo/turismo-prestaciones/</t>
  </si>
  <si>
    <t xml:space="preserve">UPJET-13</t>
  </si>
  <si>
    <t xml:space="preserve">Complejo La Torre (predio propio) y tarifario</t>
  </si>
  <si>
    <t xml:space="preserve">Complejo recreativo con hospedajes, cabaña, quincho y salón para eventos familiares, con cuadro tarifario 2025-2026 publicado y página de ingreso al complejo. Reserva por contacto directo.</t>
  </si>
  <si>
    <t xml:space="preserve">https://upjet.org.ar/turismo/complejo-la-torre/</t>
  </si>
  <si>
    <t xml:space="preserve">UPJET-14</t>
  </si>
  <si>
    <t xml:space="preserve">Convenios de hotelería y centros de recreación</t>
  </si>
  <si>
    <t xml:space="preserve">Listado de hoteles y centros recreativos conveniados con tarifas preferenciales para afiliados; reserva directa presentando credencial.</t>
  </si>
  <si>
    <t xml:space="preserve">https://upjet.org.ar/turismo/convenios-hoteleria-y-centros-de-recreacion/</t>
  </si>
  <si>
    <t xml:space="preserve">Convenios de hotelería: Beneficios.</t>
  </si>
  <si>
    <t xml:space="preserve">UPJET-15</t>
  </si>
  <si>
    <t xml:space="preserve">Convenios comerciales (BGH, Flecha Bus, óptica)</t>
  </si>
  <si>
    <t xml:space="preserve">Descuentos en electrodomésticos BGH, pasajes Grupo Flecha Bus, óptica y comercios adheridos presentando documentación de afiliado.</t>
  </si>
  <si>
    <t xml:space="preserve">UPJET-16</t>
  </si>
  <si>
    <t xml:space="preserve">Emergencia médica para jubilados</t>
  </si>
  <si>
    <t xml:space="preserve">Cobertura de emergencias médicas contratada por el gremio para afiliados jubilados (no es obra social; se anota como beneficio no médico de gestión gremial, consultar comisión de Acción Social).</t>
  </si>
  <si>
    <t xml:space="preserve">Emergencia médica: salud.</t>
  </si>
  <si>
    <t xml:space="preserve">UPJET-17</t>
  </si>
  <si>
    <t xml:space="preserve">Fondo Compensador Telefónico (F.C.T.)</t>
  </si>
  <si>
    <t xml:space="preserve">Sección informativa sobre el fondo compensador jubilatorio del sector (complemento de haberes), con documentación y novedades para afiliados jubilados y próximos a jubilarse.</t>
  </si>
  <si>
    <t xml:space="preserve">https://upjet.org.ar/fondo-compensador-telefonico/</t>
  </si>
  <si>
    <t xml:space="preserve">Fondo compensador: información en Novedades.</t>
  </si>
  <si>
    <t xml:space="preserve">UPJET-18</t>
  </si>
  <si>
    <t xml:space="preserve">Plan Nacional de Viviendas</t>
  </si>
  <si>
    <t xml:space="preserve">Programa de acceso a la vivienda para afiliados listado en Beneficios, sin detalle de mecanismo en web.</t>
  </si>
  <si>
    <t xml:space="preserve">Plan de viviendas.</t>
  </si>
  <si>
    <t xml:space="preserve">UPJET-19</t>
  </si>
  <si>
    <t xml:space="preserve">Radio JET, Canal UPJET y Revista UPJET</t>
  </si>
  <si>
    <t xml:space="preserve">Medios propios: radio online, canal de video y revista digital con noticias gremiales y del sector, más galería fotográfica.</t>
  </si>
  <si>
    <t xml:space="preserve">https://upjet.org.ar/multimedia/radio-jet/</t>
  </si>
  <si>
    <t xml:space="preserve">Radio, canal y revista propios.</t>
  </si>
  <si>
    <t xml:space="preserve">UPJET-20</t>
  </si>
  <si>
    <t xml:space="preserve">Torneos deportivos y eventos culturales (Fundación Mercedes Sosa)</t>
  </si>
  <si>
    <t xml:space="preserve">Torneos deportivos entre afiliados y agenda cultural vinculada a la Fundación Mercedes Sosa. Participación presencial.</t>
  </si>
  <si>
    <t xml:space="preserve">Torneos y eventos: inscripciones (P04).</t>
  </si>
  <si>
    <t xml:space="preserve">UPSRA-1</t>
  </si>
  <si>
    <t xml:space="preserve">Afiliación por planilla descargable</t>
  </si>
  <si>
    <t xml:space="preserve">El trabajador descarga la planilla de afiliación desde la web (sección 'Descargar Planilla de Afiliación'), la completa y la presenta en sede/delegación o la envía a afiliaciones@upsra.org.ar. No hay afiliación 100% online.</t>
  </si>
  <si>
    <t xml:space="preserve">https://upsra.org.ar/sitio/afiliaciones-2/</t>
  </si>
  <si>
    <t xml:space="preserve">UPSRA-2</t>
  </si>
  <si>
    <t xml:space="preserve">Credencial digital QR</t>
  </si>
  <si>
    <t xml:space="preserve">Nuevo sistema de credenciales digitales con código QR anunciado en marzo 2025 para identificar al afiliado. La web solo publica imágenes; no se explica cómo se obtiene ni si hay app. Los beneficios siguen pidiendo 'carnet sindical renovado' como requisito. [Reclasificado a semi-online: anunciado sin procedimiento; los beneficios piden carnet físico.]</t>
  </si>
  <si>
    <t xml:space="preserve">https://upsra.org.ar/sitio/2025/03/28/nuevo-sistema-de-credenciales-digitales-qr/</t>
  </si>
  <si>
    <t xml:space="preserve">UPSRA-3</t>
  </si>
  <si>
    <t xml:space="preserve">Escalas salariales y CCT publicados</t>
  </si>
  <si>
    <t xml:space="preserve">Sección fija del menú con las escalas salariales vigentes del CCT de seguridad privada y el texto del convenio colectivo. Consulta pública, sin login ni calculadora.</t>
  </si>
  <si>
    <t xml:space="preserve">https://upsra.org.ar/sitio/escalas-salariales/</t>
  </si>
  <si>
    <t xml:space="preserve">Escalas y CCT: Fórmulas + Novedades.</t>
  </si>
  <si>
    <t xml:space="preserve">UPSRA-4</t>
  </si>
  <si>
    <t xml:space="preserve">Sistema de boletas de aportes para empresas</t>
  </si>
  <si>
    <t xml:space="preserve">Portal externo (osocial.com.ar) donde las empresas de seguridad generan boletas de pago de aportes sindicales y gestionan altas. Dirigido a empleadores, no al afiliado; se complementa con una sección de 'Inspecciones'.</t>
  </si>
  <si>
    <t xml:space="preserve">https://upsra.org.ar/sitio/empresas/</t>
  </si>
  <si>
    <t xml:space="preserve">P10, P15</t>
  </si>
  <si>
    <t xml:space="preserve">Boletas e inspecciones (P15).</t>
  </si>
  <si>
    <t xml:space="preserve">UPSRA-5</t>
  </si>
  <si>
    <t xml:space="preserve">Subsidio por nacimiento (practicuna y ajuar)</t>
  </si>
  <si>
    <t xml:space="preserve">Entrega de practicuna y equipo básico para el recién nacido, dentro de los primeros 6 meses de vida. El afiliado presenta último recibo de sueldo, partida de nacimiento, domicilio y teléfono; el canal indicado es el mail afiliaciones@upsra.org.ar o la delegación.</t>
  </si>
  <si>
    <t xml:space="preserve">https://upsra.org.ar/sitio/beneficios/</t>
  </si>
  <si>
    <t xml:space="preserve">Subsidio por nacimiento en especie (P01).</t>
  </si>
  <si>
    <t xml:space="preserve">UPSRA-6</t>
  </si>
  <si>
    <t xml:space="preserve">Subsidio por matrimonio o estadía en Hotel Regidor</t>
  </si>
  <si>
    <t xml:space="preserve">El afiliado con 6 meses de antigüedad elige entre un subsidio monetario único o 10 días de hospedaje con desayuno en el Hotel Regidor (Mar del Plata). Requiere certificado de matrimonio, DNI de ambos y CBU; se solicita hasta 6 meses después de la boda por mail/delegación.</t>
  </si>
  <si>
    <t xml:space="preserve">Subsidio o estadía por matrimonio: subsidio con opción (P01/P02).</t>
  </si>
  <si>
    <t xml:space="preserve">UPSRA-7</t>
  </si>
  <si>
    <t xml:space="preserve">Kit escolar (útiles, mochila y guardapolvo)</t>
  </si>
  <si>
    <t xml:space="preserve">Entrega de útiles, mochila y guardapolvo al inicio del ciclo lectivo para hijos de afiliados. Requiere último recibo, DNI y partida de nacimiento de los hijos. Se gestiona por mail/delegación y el retiro es presencial.</t>
  </si>
  <si>
    <t xml:space="preserve">UPSRA-8</t>
  </si>
  <si>
    <t xml:space="preserve">Subsidio por fallecimiento y servicio de sepelio</t>
  </si>
  <si>
    <t xml:space="preserve">Cobertura de sepelio a través de la aseguradora El Surco (línea 24 hs) más subsidio por defunción para el cónyuge/conviviente. Requiere partida de defunción, últimos 4 recibos, certificado de matrimonio o declaración de convivencia, DNI y CBU; se tramita por mail o directamente con la aseguradora.</t>
  </si>
  <si>
    <t xml:space="preserve">UPSRA-9</t>
  </si>
  <si>
    <t xml:space="preserve">Descuentos en ópticas asociadas</t>
  </si>
  <si>
    <t xml:space="preserve">Descuentos en dos ópticas con convenio (Óptica Bottalo en CABA y Óptica Imagen en La Plata). El afiliado concurre con último recibo de sueldo y carnet sindical renovado.</t>
  </si>
  <si>
    <t xml:space="preserve">Ópticas: Beneficios.</t>
  </si>
  <si>
    <t xml:space="preserve">UPSRA-10</t>
  </si>
  <si>
    <t xml:space="preserve">Asesoramiento jurídico laboral gratuito</t>
  </si>
  <si>
    <t xml:space="preserve">Atención presencial con abogados laborales en la sede central (Ecuador 969, CABA) martes 11:30-13:30 y jueves 14:00-16:00, presentando recibo y carnet sindical renovado. No hay canal online.</t>
  </si>
  <si>
    <t xml:space="preserve">UPSRA-11</t>
  </si>
  <si>
    <t xml:space="preserve">Hotel Regidor (Mar del Plata)</t>
  </si>
  <si>
    <t xml:space="preserve">Hotel propio con tarifas bonificadas por día para afiliado y grupo familiar, desayuno incluido (tarifario publicado, ej. simple $23.500 / doble $42.000 hasta 30/11). Reservas y consultas por mail (reservasregidor@upsra.org.ar) o WhatsApp.</t>
  </si>
  <si>
    <t xml:space="preserve">https://upsra.org.ar/sitio/turismo/</t>
  </si>
  <si>
    <t xml:space="preserve">UPSRA-12</t>
  </si>
  <si>
    <t xml:space="preserve">Campo Evita (Moreno) con formulario online</t>
  </si>
  <si>
    <t xml:space="preserve">Predio recreativo en Moreno (Buenos Aires) para afiliados y familia. El acceso se gestiona completando un formulario en línea y presentando el DNI en mesa de entrada.</t>
  </si>
  <si>
    <t xml:space="preserve">Formulario de acceso al predio como trámite (hoy) con QR de credencial (P19).</t>
  </si>
  <si>
    <t xml:space="preserve">UPSRA-13</t>
  </si>
  <si>
    <t xml:space="preserve">Campings y parques por convenio</t>
  </si>
  <si>
    <t xml:space="preserve">Acceso al camping S.O.E.S.G.P.Y.L.A. en Rosario con tarifas diferenciadas para afiliados e invitados, y al Parque 'Adelino Romero' (Esteban Echeverría) gratuito para titulares y grupo familiar. Se coordina llamando a la Delegación Rosario.</t>
  </si>
  <si>
    <t xml:space="preserve">UPSRA-14</t>
  </si>
  <si>
    <t xml:space="preserve">Capacitación profesional a distancia (IFP-UPSRA)</t>
  </si>
  <si>
    <t xml:space="preserve">Instituto de Formación Profesional del sindicato con cursos a distancia para el rubro: curso básico de vigilador, supervisor de seguridad privada, operador de monitoreo, y 'cultura en el trabajo'. La inscripción se hace por teléfono o mail (inscripciones418laplata@gmail.com).</t>
  </si>
  <si>
    <t xml:space="preserve">https://upsra.org.ar/sitio/ifp-upsra/</t>
  </si>
  <si>
    <t xml:space="preserve">P21, P22, P23</t>
  </si>
  <si>
    <t xml:space="preserve">Cursos habilitantes a distancia (P22/P23).</t>
  </si>
  <si>
    <t xml:space="preserve">UPSRA-15</t>
  </si>
  <si>
    <t xml:space="preserve">Capacitación presencial y terminalidad secundaria</t>
  </si>
  <si>
    <t xml:space="preserve">Cursos presenciales del rubro y terminalidad del secundario para afiliados, gestionados desde La Plata (delegación 418). Inscripción por teléfono/mail y cursada presencial.</t>
  </si>
  <si>
    <t xml:space="preserve">https://upsra.org.ar/sitio/educacion-y-capacitacion/</t>
  </si>
  <si>
    <t xml:space="preserve">Capacitación presencial y terminalidad: P22.</t>
  </si>
  <si>
    <t xml:space="preserve">UPSRA-16</t>
  </si>
  <si>
    <t xml:space="preserve">Red de delegaciones y contacto WhatsApp</t>
  </si>
  <si>
    <t xml:space="preserve">Directorio de delegaciones en el país y un número de WhatsApp institucional (15-3455-3382) más mail de afiliaciones como canal de consultas. No es un chatbot; es atención humana.</t>
  </si>
  <si>
    <t xml:space="preserve">https://upsra.org.ar/sitio/delegaciones2/</t>
  </si>
  <si>
    <t xml:space="preserve">P17, P28</t>
  </si>
  <si>
    <t xml:space="preserve">Delegaciones (P28); WhatsApp en P27.</t>
  </si>
  <si>
    <t xml:space="preserve">UTHGRA-1</t>
  </si>
  <si>
    <t xml:space="preserve">Afiliación centralizada (D.U.A.)</t>
  </si>
  <si>
    <t xml:space="preserve">El Departamento Unificado de Afiliaciones procesa las solicitudes de todo el país con un sistema computarizado y entrega credencial magnética que habilita servicios asistenciales, gremiales, educativos y recreativos. El trámite se inicia en la seccional (presencial); la web no ofrece formulario online.</t>
  </si>
  <si>
    <t xml:space="preserve">http://www.uthgra.org.ar/servicios/afiliaciones/</t>
  </si>
  <si>
    <t xml:space="preserve">Afiliación centralizada: afiliación online (P08).</t>
  </si>
  <si>
    <t xml:space="preserve">UTHGRA-2</t>
  </si>
  <si>
    <t xml:space="preserve">Credencial digital UTHGRA / OSUTHGRA</t>
  </si>
  <si>
    <t xml:space="preserve">El afiliado se registra siguiendo un manual descargable y obtiene una credencial digital en el celular, válida para el sindicato y la obra social. Reemplaza/complementa la credencial magnética.</t>
  </si>
  <si>
    <t xml:space="preserve">UTHGRA-3</t>
  </si>
  <si>
    <t xml:space="preserve">Centro de Orientación al Afiliado (COA) 0800 24x7</t>
  </si>
  <si>
    <t xml:space="preserve">Call center gratuito (0800 222 8855) que atiende 24 horas los 365 días, con ~1100 llamadas diarias, para orientar sobre trámites sindicales, afiliación, traspasos, centros recreativos y prestaciones. Los operadores derivan internamente las consultas complejas y devuelven respuesta. Solo telefónico.</t>
  </si>
  <si>
    <t xml:space="preserve">http://www.uthgra.org.ar/servicios/centro-de-orientacion-al-afiliado/</t>
  </si>
  <si>
    <t xml:space="preserve">COA 24x7 se reemplaza con el bot omnicanal (P17, ola 2); la consulta por trámite existe hoy.</t>
  </si>
  <si>
    <t xml:space="preserve">UTHGRA-4</t>
  </si>
  <si>
    <t xml:space="preserve">Asignación por fallecimiento</t>
  </si>
  <si>
    <t xml:space="preserve">Pago único de $4.452.000 (desde julio 2026) a la familia del afiliado o por fallecimiento de un integrante del grupo familiar (cónyuge, hijos hasta 21/25, padres a cargo). Plazo de 3 años para iniciar el trámite, que se hace en la seccional con documentación.</t>
  </si>
  <si>
    <t xml:space="preserve">http://www.uthgra.org.ar/servicios/seguros/</t>
  </si>
  <si>
    <t xml:space="preserve">Asignación por fallecimiento como subsidio (P01).</t>
  </si>
  <si>
    <t xml:space="preserve">UTHGRA-5</t>
  </si>
  <si>
    <t xml:space="preserve">Servicio de sepelio</t>
  </si>
  <si>
    <t xml:space="preserve">Sepelio completo (sala velatoria, féretro, traslado, trámites de registro civil, ambulancia hasta 30 km) mediante empresas adheridas a la aseguradora El Surco, línea 0800 24/7. Si la familia lo hizo en forma privada, reintegro de hasta $1.611.000 contra factura dentro del año.</t>
  </si>
  <si>
    <t xml:space="preserve">Sepelio: ficha de emergencias (P29); reintegro en P07.</t>
  </si>
  <si>
    <t xml:space="preserve">UTHGRA-6</t>
  </si>
  <si>
    <t xml:space="preserve">Turismo social en hoteles propios</t>
  </si>
  <si>
    <t xml:space="preserve">Hotel UTHGRA Los Cocos (Córdoba, todo el año) y Hotel Presidente Perón (Mar del Plata, temporada). Paquetes de 7 a 14 días con transporte ida y vuelta desde la seccional, pensión completa, recreación programada y mini club, subsidiados por el gremio a precios por debajo del costo. Reserva por seccional, sitio uthgraturismo.com.ar o WhatsApp (QR).</t>
  </si>
  <si>
    <t xml:space="preserve">http://www.uthgra.org.ar/turismo</t>
  </si>
  <si>
    <t xml:space="preserve">UTHGRA-7</t>
  </si>
  <si>
    <t xml:space="preserve">Capacitación y formación profesional</t>
  </si>
  <si>
    <t xml:space="preserve">Secretaría de Capacitación con cursos, seminarios y congresos de formación profesional para trabajadores del sector, con convenios con UTN, UAI y ministerios de Trabajo y Educación; incluye programas de inserción laboral para desocupados. La web describe el área pero no publica catálogo ni inscripción online.</t>
  </si>
  <si>
    <t xml:space="preserve">http://www.uthgra.org.ar/capacitacion</t>
  </si>
  <si>
    <t xml:space="preserve">Capacitación: P22; inserción en P21.</t>
  </si>
  <si>
    <t xml:space="preserve">UTHGRA-8</t>
  </si>
  <si>
    <t xml:space="preserve">Escalas salariales y convenios de trabajo</t>
  </si>
  <si>
    <t xml:space="preserve">Publicación de los CCT y las escalas salariales vigentes (rama gastronómica/hotelera) para consulta y descarga por trabajadores y empleadores.</t>
  </si>
  <si>
    <t xml:space="preserve">http://www.uthgra.org.ar/institucional/accion-gremial/escalas/</t>
  </si>
  <si>
    <t xml:space="preserve">Escalas y convenios: Fórmulas + Novedades.</t>
  </si>
  <si>
    <t xml:space="preserve">UTHGRA-9</t>
  </si>
  <si>
    <t xml:space="preserve">Impresión de boletas online (empleadores y monotributistas)</t>
  </si>
  <si>
    <t xml:space="preserve">Sistema web boletasuthgra.org.ar donde empleadores generan e imprimen las boletas de aportes sindicales, y los monotributistas/afiliados adherentes generan su propia boleta de pago.</t>
  </si>
  <si>
    <t xml:space="preserve">https://boletasuthgra.org.ar/</t>
  </si>
  <si>
    <t xml:space="preserve">Boletas online: P15.</t>
  </si>
  <si>
    <t xml:space="preserve">UTHGRA-10</t>
  </si>
  <si>
    <t xml:space="preserve">Cultura</t>
  </si>
  <si>
    <t xml:space="preserve">Secretaría de Cultura con actividades culturales para afiliados (la web solo la enuncia como sección).</t>
  </si>
  <si>
    <t xml:space="preserve">http://www.uthgra.org.ar/cultura</t>
  </si>
  <si>
    <t xml:space="preserve">Cultura: Novedades; inscripciones en P04.</t>
  </si>
  <si>
    <t xml:space="preserve">UTHGRA-11</t>
  </si>
  <si>
    <t xml:space="preserve">IPLIDO - Instituto para la Igualdad de Oportunidades</t>
  </si>
  <si>
    <t xml:space="preserve">Instituto del gremio con sitio propio dedicado a promover la igualdad de género y oportunidades en el sector; ofrece contenidos, capacitación y acompañamiento. Ambiguo el detalle de servicios directos al afiliado.</t>
  </si>
  <si>
    <t xml:space="preserve">https://www.iplido.org.ar</t>
  </si>
  <si>
    <t xml:space="preserve">Instituto de igualdad: contenido y área.</t>
  </si>
  <si>
    <t xml:space="preserve">UTHGRA-12</t>
  </si>
  <si>
    <t xml:space="preserve">Afiliación de monotributistas</t>
  </si>
  <si>
    <t xml:space="preserve">El COA y el sistema de boletas mencionan monotributistas como público: trabajadores independientes del rubro pueden adherirse y pagar su boleta online. Es un servicio a no afiliados en relación de dependencia.</t>
  </si>
  <si>
    <t xml:space="preserve">https://www.uthgra.org.ar/</t>
  </si>
  <si>
    <t xml:space="preserve">Nivel monotributista/adherente (P03, ola 1).</t>
  </si>
  <si>
    <t xml:space="preserve">AAA-1</t>
  </si>
  <si>
    <t xml:space="preserve">Afiliación por mail</t>
  </si>
  <si>
    <t xml:space="preserve">La afiliación se gestiona escribiendo a afiliaciones@aeronavegantes.com; no hay formulario web.</t>
  </si>
  <si>
    <t xml:space="preserve">AAA-2</t>
  </si>
  <si>
    <t xml:space="preserve">Ajuar para recién nacido y subsidio por nacimiento con pañales</t>
  </si>
  <si>
    <t xml:space="preserve">Al nacer un hijo, el tripulante recibe un ajuar, un subsidio económico por nacimiento y entrega de pañales. Se tramita en la sede/por contacto con el sindicato.</t>
  </si>
  <si>
    <t xml:space="preserve">Ajuar y subsidio (P01).</t>
  </si>
  <si>
    <t xml:space="preserve">AAA-3</t>
  </si>
  <si>
    <t xml:space="preserve">Subsidio por excedencia</t>
  </si>
  <si>
    <t xml:space="preserve">Ayuda económica para tripulantes (mayoritariamente mujeres) que toman el período de excedencia post-maternidad, en el que no cobran salario. Beneficio poco común entre sindicatos.</t>
  </si>
  <si>
    <t xml:space="preserve">Subsidio por excedencia detectable desde el recibo (P32, ola 2); como subsidio simple entra en P01.</t>
  </si>
  <si>
    <t xml:space="preserve">AAA-4</t>
  </si>
  <si>
    <t xml:space="preserve">Entrega anual de kits escolares para hijos de afiliados entre febrero y marzo.</t>
  </si>
  <si>
    <t xml:space="preserve">Kits: campaña (P04).</t>
  </si>
  <si>
    <t xml:space="preserve">AAA-5</t>
  </si>
  <si>
    <t xml:space="preserve">Colonia de vacaciones para hijos de afiliados de 3 a 12 años.</t>
  </si>
  <si>
    <t xml:space="preserve">AAA-6</t>
  </si>
  <si>
    <t xml:space="preserve">Regalo de cumpleaños (gift card / noches de hotel / anteojos)</t>
  </si>
  <si>
    <t xml:space="preserve">Por su cumpleaños el afiliado elige un beneficio: gift card (para tripulantes activos sin hijos), dos noches en Bagu Hoteles, o armazones de anteojos en Óptica Lottica. Beneficio recurrente anual segmentado por perfil.</t>
  </si>
  <si>
    <t xml:space="preserve">P02, P24</t>
  </si>
  <si>
    <t xml:space="preserve">Voucher anual con opciones (P02, ola 1).</t>
  </si>
  <si>
    <t xml:space="preserve">AAA-7</t>
  </si>
  <si>
    <t xml:space="preserve">Asesoramiento contable (impuesto a las ganancias)</t>
  </si>
  <si>
    <t xml:space="preserve">Asesoría contable específica para la liquidación de ganancias de los tripulantes, por mail a ganancias@asesoramiento.com. Relevante en un colectivo con salarios en escala de ganancias y viáticos.</t>
  </si>
  <si>
    <t xml:space="preserve">Asesoría de Ganancias: consulta por trámite al área contable; turnos en P12.</t>
  </si>
  <si>
    <t xml:space="preserve">AAA-8</t>
  </si>
  <si>
    <t xml:space="preserve">Seguro por sepelio</t>
  </si>
  <si>
    <t xml:space="preserve">Cobertura de sepelio con línea 0800-333-2378 para siniestros, gestionada vía la mutual AMDTA.</t>
  </si>
  <si>
    <t xml:space="preserve">AAA-9</t>
  </si>
  <si>
    <t xml:space="preserve">Seguro por licencia prolongada</t>
  </si>
  <si>
    <t xml:space="preserve">Seguro de la mutual AMDTA que cubre la pérdida de ingresos del tripulante ante licencias médicas prolongadas (pérdida de aptitud psicofísica); gestión por mail seguro@amdta.org.ar o teléfono. Producto muy específico del rubro.</t>
  </si>
  <si>
    <t xml:space="preserve">P23, P32, P34</t>
  </si>
  <si>
    <t xml:space="preserve">Seguro de la mutual: producto asegurador de terceros (difusión y P34).</t>
  </si>
  <si>
    <t xml:space="preserve">AAA-10</t>
  </si>
  <si>
    <t xml:space="preserve">Clases gratuitas de idiomas</t>
  </si>
  <si>
    <t xml:space="preserve">Cursos gratuitos de inglés, portugués e italiano para afiliados, con inscripción por mail a capacitacion@aeronavegantes.com; además 25% de descuento en el CUI (Centro Universitario de Idiomas) con código que se pide por mail.</t>
  </si>
  <si>
    <t xml:space="preserve">Clases de idiomas con inscripción: Capacitación (P22).</t>
  </si>
  <si>
    <t xml:space="preserve">AAA-11</t>
  </si>
  <si>
    <t xml:space="preserve">Cursos IFPA (TCP, despachante, inglés aeronáutico)</t>
  </si>
  <si>
    <t xml:space="preserve">Instituto de formación aeronáutica recomendado por la AAA: curso de Tripulante de Cabina (2 a 10 meses, credencial comercial + ejecutiva), despachante de aeronaves, inglés aeronáutico, cursos autogestionados y taller de búsqueda laboral. Presencial en varias sedes y virtual; inscripción online (plataforma SIGA) o por WhatsApp, con financiación en cuotas. Abierto al público general (semillero de futuros afiliados). [Reclasificado a semi-online: inscripción online o por WhatsApp; cursada presencial.]</t>
  </si>
  <si>
    <t xml:space="preserve">https://www.ifpa.edu.ar/</t>
  </si>
  <si>
    <t xml:space="preserve">Semillero de institutos como registrados (P21/P22, ola 2).</t>
  </si>
  <si>
    <t xml:space="preserve">AAA-12</t>
  </si>
  <si>
    <t xml:space="preserve">Turismo: hoteles con convenio y viaje a Carmelo</t>
  </si>
  <si>
    <t xml:space="preserve">Convenios con Hotel Boutique Sutpa (reserva por WhatsApp), Bagu Hoteles (convenios@hotelesbagu.com) y viaje a Carmelo (Uruguay) reservado por WhatsApp. Sin reserva web.</t>
  </si>
  <si>
    <t xml:space="preserve">AAA-13</t>
  </si>
  <si>
    <t xml:space="preserve">Recreo 'Aire de Proa' en Tigre</t>
  </si>
  <si>
    <t xml:space="preserve">Predio recreativo propio en Tigre (Carapachay 165) para afiliados y familia, acceso por teléfono/presencial.</t>
  </si>
  <si>
    <t xml:space="preserve">AAA-14</t>
  </si>
  <si>
    <t xml:space="preserve">Actividades deportivas coordinadas por un referente (contacto druiz@aeronavegantes.com); sin detalle de disciplinas en la web.</t>
  </si>
  <si>
    <t xml:space="preserve">AAA-15</t>
  </si>
  <si>
    <t xml:space="preserve">Revista trimestral 'Integrar' (mutual)</t>
  </si>
  <si>
    <t xml:space="preserve">Publicación trimestral de la mutual AMDTA con novedades y beneficios para asociados.</t>
  </si>
  <si>
    <t xml:space="preserve">http://amdta.org.ar/</t>
  </si>
  <si>
    <t xml:space="preserve">Revista de la mutual: Novedades.</t>
  </si>
  <si>
    <t xml:space="preserve">AAPM-1</t>
  </si>
  <si>
    <t xml:space="preserve">Carrera de Agente de Propaganda Médica (Instituto de Formación)</t>
  </si>
  <si>
    <t xml:space="preserve">Carrera corta profesionalizante dictada por el instituto propio del sindicato, presentada como la única carrera reconocida de APM; funciona como puerta de entrada a la profesión (alcanza a no afiliados que quieren ingresar al rubro). La web del instituto devolvió 403, por lo que no se pudo relevar modalidad ni costos.</t>
  </si>
  <si>
    <t xml:space="preserve">http://www.cursosapm.com.ar/</t>
  </si>
  <si>
    <t xml:space="preserve">Carrera del instituto: semillero (P21/P22).</t>
  </si>
  <si>
    <t xml:space="preserve">AAPM-2</t>
  </si>
  <si>
    <t xml:space="preserve">Quintas recreativas propias (Moreno y Las Lilas en San Vicente)</t>
  </si>
  <si>
    <t xml:space="preserve">Dos predios recreativos propios gestionados por la Secretaría de Vivienda para uso de afiliados y familia. Acceso presencial; reservas por contacto con el sindicato.</t>
  </si>
  <si>
    <t xml:space="preserve">https://www.aapmra.com/st/turismo</t>
  </si>
  <si>
    <t xml:space="preserve">AAPM-3</t>
  </si>
  <si>
    <t xml:space="preserve">Convenios hoteleros con reserva por mail</t>
  </si>
  <si>
    <t xml:space="preserve">Red de hoteles en convenio en Bariloche, Mar del Plata, Puerto Madryn, San Martín de los Andes, Villa Gesell, Termas de Río Hondo y otros destinos. El afiliado envía un mail con N° de afiliado, nombre, DNI, fecha de nacimiento, hotel, fechas de ingreso/egreso, tipo de habitación y celular; sin esos datos la solicitud no se procesa.</t>
  </si>
  <si>
    <t xml:space="preserve">AAPM-4</t>
  </si>
  <si>
    <t xml:space="preserve">Biblioteca de derechos: CCT, LCT, estatuto y guía 'Lo que todo APM debe conocer'</t>
  </si>
  <si>
    <t xml:space="preserve">Sección con el Convenio Colectivo de Trabajo de los APM, la Ley de Contrato de Trabajo, el estatuto y una guía práctica de derechos del visitador médico, más enlaces a las leyes provinciales de profesionalidad de 15 jurisdicciones. Consulta libre online, útil también para no afiliados.</t>
  </si>
  <si>
    <t xml:space="preserve">https://www.aapmra.com/st/derechos</t>
  </si>
  <si>
    <t xml:space="preserve">Biblioteca de derechos abierta (P18).</t>
  </si>
  <si>
    <t xml:space="preserve">AAPM-5</t>
  </si>
  <si>
    <t xml:space="preserve">Paritarias y escalas publicadas</t>
  </si>
  <si>
    <t xml:space="preserve">Sección 'Paritarias' con los acuerdos salariales del sector para consulta pública; no hay buscador de escalas ni calculadora.</t>
  </si>
  <si>
    <t xml:space="preserve">https://www.aapmra.com/secciones/paritarias</t>
  </si>
  <si>
    <t xml:space="preserve">AAPM-6</t>
  </si>
  <si>
    <t xml:space="preserve">Observatorio de Medicamentos y Salud Internacional</t>
  </si>
  <si>
    <t xml:space="preserve">Centro de investigación del sindicato (IEPS, desde 2006) que publica informes en PDF sobre la industria farmacéutica, precios comparados de medicamentos en la región, fármacos de alto costo y condiciones laborales de los APM. Contenido abierto a trabajadores, sindicatos, investigadores y ciudadanía.</t>
  </si>
  <si>
    <t xml:space="preserve">https://www.aapmra.com/observatorio</t>
  </si>
  <si>
    <t xml:space="preserve">Centro de investigación sectorial: se difunde, no se reemplaza (indicadores en P25).</t>
  </si>
  <si>
    <t xml:space="preserve">AAPM-7</t>
  </si>
  <si>
    <t xml:space="preserve">Portal Empresas</t>
  </si>
  <si>
    <t xml:space="preserve">Subsitio empresas.apm.org.ar dirigido a laboratorios/empleadores (presumiblemente para aportes, boletas y padrón). No es un servicio al afiliado pero muestra la relación digital sindicato-empresa.</t>
  </si>
  <si>
    <t xml:space="preserve">https://empresas.apm.org.ar</t>
  </si>
  <si>
    <t xml:space="preserve">AAPM-8</t>
  </si>
  <si>
    <t xml:space="preserve">Contacto por WhatsApp y redes</t>
  </si>
  <si>
    <t xml:space="preserve">Botón de WhatsApp directo desde la web, más Instagram, X, Facebook y YouTube; 24 seccionales con contacto propio. [Reclasificado a semi-online: canal de contacto humano.]</t>
  </si>
  <si>
    <t xml:space="preserve">https://www.aapmra.com/st/contacto</t>
  </si>
  <si>
    <t xml:space="preserve">P27, P28</t>
  </si>
  <si>
    <t xml:space="preserve">AAPM-9</t>
  </si>
  <si>
    <t xml:space="preserve">Buscador del sitio</t>
  </si>
  <si>
    <t xml:space="preserve">Buscador interno de noticias y documentos (aapmra.com/buscar).</t>
  </si>
  <si>
    <t xml:space="preserve">https://aapmra.com/buscar</t>
  </si>
  <si>
    <t xml:space="preserve">Buscador del sitio institucional.</t>
  </si>
  <si>
    <t xml:space="preserve">CTERA-1</t>
  </si>
  <si>
    <t xml:space="preserve">Escuela Marina Vilte – cursos virtuales abiertos</t>
  </si>
  <si>
    <t xml:space="preserve">Propuestas de formación 100% online y autodirigidas (trabajo docente, educación ambiental, ESI, pedagogías latinoamericanas, investigación educativa, DDHH, infancias, arte e interculturalidad) alojadas en educacion.ctera.org.ar. No requieren inscripción previa, cada docente cursa a su ritmo; no otorgan certificación ni puntaje.</t>
  </si>
  <si>
    <t xml:space="preserve">https://educacion.ctera.org.ar/</t>
  </si>
  <si>
    <t xml:space="preserve">Contenido abierto de formación (P22); la biblioteca abierta simple en P18 (corto).</t>
  </si>
  <si>
    <t xml:space="preserve">CTERA-2</t>
  </si>
  <si>
    <t xml:space="preserve">Congresos, encuentros y jornadas pedagógicas</t>
  </si>
  <si>
    <t xml:space="preserve">La Escuela Marina Vilte organiza congresos y jornadas presenciales/virtuales de formación docente y sindical, difundidos en la web; la inscripción se canaliza por los sindicatos de base.</t>
  </si>
  <si>
    <t xml:space="preserve">Congresos: inscripciones (P04) y Capacitación (P22).</t>
  </si>
  <si>
    <t xml:space="preserve">CTERA-3</t>
  </si>
  <si>
    <t xml:space="preserve">Mediateca Pedagógica</t>
  </si>
  <si>
    <t xml:space="preserve">Biblioteca digital con materiales pedagógicos, videos y documentos de acceso libre para docentes (mediateca.ctera.org.ar).</t>
  </si>
  <si>
    <t xml:space="preserve">Mediateca: contenido enlazado.</t>
  </si>
  <si>
    <t xml:space="preserve">CTERA-4</t>
  </si>
  <si>
    <t xml:space="preserve">Instituto de Investigaciones Pedagógicas (IIPMV)</t>
  </si>
  <si>
    <t xml:space="preserve">Instituto de investigación educativa que publica estudios e informes sobre trabajo docente y política educativa, disponibles online (iipmv.ctera.org.ar).</t>
  </si>
  <si>
    <t xml:space="preserve">Instituto de investigación.</t>
  </si>
  <si>
    <t xml:space="preserve">CTERA-5</t>
  </si>
  <si>
    <t xml:space="preserve">Casas de Docentes</t>
  </si>
  <si>
    <t xml:space="preserve">Alojamientos para docentes gestionados por los sindicatos de base (ej. Casa del Docente de La Plata: 5 habitaciones, 20 plazas, cuchetas y sommiers). La confederación publica el listado; la reserva se hace por teléfono con el sindicato responsable (en el ejemplo, SUTEBA).</t>
  </si>
  <si>
    <t xml:space="preserve">https://ctera.org.ar/category/accion-social/casas-de-docentes/</t>
  </si>
  <si>
    <t xml:space="preserve">CTERA-6</t>
  </si>
  <si>
    <t xml:space="preserve">Hoteles con descuentos</t>
  </si>
  <si>
    <t xml:space="preserve">Listado de hoteles con convenio y descuentos para docentes afiliados a los sindicatos de CTERA, publicado en la sección Acción Social. El afiliado contacta al hotel acreditando afiliación.</t>
  </si>
  <si>
    <t xml:space="preserve">https://ctera.org.ar/category/accion-social/hoteles-con-descuentos/</t>
  </si>
  <si>
    <t xml:space="preserve">CTERA-7</t>
  </si>
  <si>
    <t xml:space="preserve">Leyes, normativas y paritarias</t>
  </si>
  <si>
    <t xml:space="preserve">Repositorio de leyes, normativas y acuerdos paritarios nacionales y provinciales, con seguimiento de conflictos provinciales, para consulta de docentes.</t>
  </si>
  <si>
    <t xml:space="preserve">Normativa: Novedades / biblioteca.</t>
  </si>
  <si>
    <t xml:space="preserve">CTERA-8</t>
  </si>
  <si>
    <t xml:space="preserve">Salud laboral y previsionales (información)</t>
  </si>
  <si>
    <t xml:space="preserve">Secciones informativas sobre salud laboral docente y temas previsionales (jubilación docente nacional). Solo contenido; el asesoramiento individual es de cada sindicato de base.</t>
  </si>
  <si>
    <t xml:space="preserve">Información previsional: Novedades / biblioteca (P18).</t>
  </si>
  <si>
    <t xml:space="preserve">CTERA-9</t>
  </si>
  <si>
    <t xml:space="preserve">Programa de radio, publicaciones y comunicados</t>
  </si>
  <si>
    <t xml:space="preserve">Programa de radio, publicaciones periódicas, comunicados y crónicas gremiales publicados en la web y redes.</t>
  </si>
  <si>
    <t xml:space="preserve">Radio y publicaciones.</t>
  </si>
  <si>
    <t xml:space="preserve">FOECYT-1</t>
  </si>
  <si>
    <t xml:space="preserve">Hotel Telepostal Eva Perón (CABA)</t>
  </si>
  <si>
    <t xml:space="preserve">Hotel sindical propio en Rincón 153, CABA (61 habitaciones + 2 suites, 126 plazas, restaurante, bar, lavandería, servicio médico, salón de conferencias para 70). Reservas por WhatsApp (link wa.me directo), teléfono o mail reservas@hotelepostal.com.ar. La web no publica tarifas diferenciadas afiliado/no afiliado ni tiene motor de reservas.</t>
  </si>
  <si>
    <t xml:space="preserve">https://www.foecytargentina.org/project/buenos-aires-hotel-telepostal-eva-peron/</t>
  </si>
  <si>
    <t xml:space="preserve">FOECYT-2</t>
  </si>
  <si>
    <t xml:space="preserve">Hotel Malvinas Argentinas</t>
  </si>
  <si>
    <t xml:space="preserve">Segundo hotel sindical de la federación listado en el menú Turismo. Se accede contactando a la federación/sindicato federado; sin detalle de tarifas ni reserva online.</t>
  </si>
  <si>
    <t xml:space="preserve">https://www.foecytargentina.org/project/hotel-malvinas-argentinas/</t>
  </si>
  <si>
    <t xml:space="preserve">FOECYT-3</t>
  </si>
  <si>
    <t xml:space="preserve">Recreos zonales (complejo de Colastiné, Santa Fe)</t>
  </si>
  <si>
    <t xml:space="preserve">Predio recreativo con 8 unidades de alojamiento (dobles/triples con baño, TV y aire), piscina con sector infantil, canchas de fútbol y tenis, parque de juegos, restaurante de comida de río y bar, para afiliados y familias. Reservas telefónicas lun-vie 8 a 17 hs.</t>
  </si>
  <si>
    <t xml:space="preserve">https://www.foecytargentina.org/project/recreos-zonales/</t>
  </si>
  <si>
    <t xml:space="preserve">FOECYT-4</t>
  </si>
  <si>
    <t xml:space="preserve">Convenio colectivo de trabajo y ámbito de representación</t>
  </si>
  <si>
    <t xml:space="preserve">Páginas institucionales con el CCT de la actividad postal, la personería gremial y el ámbito de representación, de consulta abierta. No hay escalas salariales actualizadas ni buscador; la sección 'Gremiales' es un blog de acuerdos paritarios y congresos.</t>
  </si>
  <si>
    <t xml:space="preserve">https://www.foecytargentina.org/convenio-colectivo-de-trabajo/</t>
  </si>
  <si>
    <t xml:space="preserve">Convenio e institucional: Novedades.</t>
  </si>
  <si>
    <t xml:space="preserve">FOECYT-5</t>
  </si>
  <si>
    <t xml:space="preserve">Directorio de sindicatos federados</t>
  </si>
  <si>
    <t xml:space="preserve">Listado de los sindicatos provinciales adheridos, que son los que prestan servicios directos al afiliado (afiliación, beneficios). Funciona como derivación hacia la seccional correspondiente.</t>
  </si>
  <si>
    <t xml:space="preserve">https://www.foecytargentina.org/sindicatos-federados/</t>
  </si>
  <si>
    <t xml:space="preserve">Directorio de sindicatos federados (P28/P26).</t>
  </si>
  <si>
    <t xml:space="preserve">LYF-1</t>
  </si>
  <si>
    <t xml:space="preserve">Intersur Hoteles (cadena hotelera propia, FATLyF)</t>
  </si>
  <si>
    <t xml:space="preserve">Cadena hotelera administrada por la Secretaría de Turismo Social de la federación con hoteles en Mar del Plata (Hotel 13 de Julio, orientado también a congresos), Villa Gesell, Bariloche, Córdoba, Santa Fe y Buenos Aires, con 'tarifas sociales' para afiliados. La web de la federación no explica cómo reservar; la cadena tiene sitio propio (intersurhoteles.com.ar) que funciona como hotel comercial abierto.</t>
  </si>
  <si>
    <t xml:space="preserve">https://fatlyf.org/secretarias/secreataria-de-turismo-social/</t>
  </si>
  <si>
    <t xml:space="preserve">LYF-2</t>
  </si>
  <si>
    <t xml:space="preserve">Turismo Volts (agencia de turismo social)</t>
  </si>
  <si>
    <t xml:space="preserve">Agencia de viajes propia de la federación (turismovolts.tur.ar) para paquetes turísticos de afiliados y familias. Enlazada desde la home; el detalle de reservas está en el sitio de la agencia, no en el del gremio.</t>
  </si>
  <si>
    <t xml:space="preserve">LYF-3</t>
  </si>
  <si>
    <t xml:space="preserve">Instituto Adalberto Wimer – formación sindical</t>
  </si>
  <si>
    <t xml:space="preserve">Instituto creado en 1967 que dicta seis cursos teórico-prácticos para afiliados lucifuercistas: Preparatorio, Oratoria y Comunicación, Conflicto y Negociación, Liderazgo, Trabajo en Equipo, Poder y Política, en todo el país. No se informa modalidad ni inscripción online; el contacto es a través del sindicato de base o el formulario general.</t>
  </si>
  <si>
    <t xml:space="preserve">https://fatlyf.org/instituto-adalberto-wimer/</t>
  </si>
  <si>
    <t xml:space="preserve">Formación sindical en trayectos: Capacitación (P22).</t>
  </si>
  <si>
    <t xml:space="preserve">LYF-4</t>
  </si>
  <si>
    <t xml:space="preserve">Biblioteca digital y publicaciones</t>
  </si>
  <si>
    <t xml:space="preserve">Biblioteca online (biblioteca.fatlyf.org) con material histórico y sindical, más sección de publicaciones descargables. Acceso libre desde la web.</t>
  </si>
  <si>
    <t xml:space="preserve">LYF-5</t>
  </si>
  <si>
    <t xml:space="preserve">Radio Contacto y Revista Contacto</t>
  </si>
  <si>
    <t xml:space="preserve">Radio online en streaming (player.questreaming.com/#fatlyf) y revista institucional digital de la federación. Canales de comunicación unidireccionales.</t>
  </si>
  <si>
    <t xml:space="preserve">https://fatlyf.org/revista-contacto/</t>
  </si>
  <si>
    <t xml:space="preserve">Radio y revista.</t>
  </si>
  <si>
    <t xml:space="preserve">LYF-6</t>
  </si>
  <si>
    <t xml:space="preserve">Cooperativa de Crédito (LyF Capital)</t>
  </si>
  <si>
    <t xml:space="preserve">Préstamos 'en condiciones justas y accesibles' exclusivos para afiliados del sindicato, para necesidades o proyectos personales. Se gestiona por teléfono o mail (creditos@luzyfuerzacapital.com.ar) y presencialmente en Defensa 453; no hay simulador ni solicitud online.</t>
  </si>
  <si>
    <t xml:space="preserve">https://luzyfuerzacapital.com.ar/cooperativas/</t>
  </si>
  <si>
    <t xml:space="preserve">Crédito con simulador (P06, ola 2).</t>
  </si>
  <si>
    <t xml:space="preserve">LYF-7</t>
  </si>
  <si>
    <t xml:space="preserve">Cooperativa de Seguros (LyF Capital)</t>
  </si>
  <si>
    <t xml:space="preserve">Seguros de vivienda y vehículos con condiciones pensadas para el trabajador, comercializados a través de afiliados. Tiene web propia (luzyfuerzaseguros.com.ar), WhatsApp comercial y mail; la contratación es semi-online.</t>
  </si>
  <si>
    <t xml:space="preserve">Cooperativa de seguros: producto de terceros (difusión).</t>
  </si>
  <si>
    <t xml:space="preserve">LYF-8</t>
  </si>
  <si>
    <t xml:space="preserve">Cooperativa de Vivienda (LyF Capital)</t>
  </si>
  <si>
    <t xml:space="preserve">Gestiona beneficios para acceso a la vivienda: asesoramiento sobre escrituración, hipotecas y administración de bienes para afiliados. Contacto por teléfono y mail, gestión presencial.</t>
  </si>
  <si>
    <t xml:space="preserve">Cooperativa de vivienda.</t>
  </si>
  <si>
    <t xml:space="preserve">LYF-9</t>
  </si>
  <si>
    <t xml:space="preserve">Hoteles y campos de recreo propios (LyF Capital)</t>
  </si>
  <si>
    <t xml:space="preserve">El sindicato de Capital opera 8 hoteles propios en distintos puntos del país con tarifas para afiliados, 7 campos de recreo en el Gran Buenos Aires y una agencia de viajes propia, con promociones estacionales (invierno 2026) publicadas en la web. No se especifican canales de reserva; contacto telefónico o presencial.</t>
  </si>
  <si>
    <t xml:space="preserve">https://luzyfuerzacapital.com.ar/turismo-y-recreacion/</t>
  </si>
  <si>
    <t xml:space="preserve">LYF-10</t>
  </si>
  <si>
    <t xml:space="preserve">Guía '¿Cómo me jubilo?' y trámites previsionales</t>
  </si>
  <si>
    <t xml:space="preserve">Sección gremial con guía informativa sobre el trámite jubilatorio y documentación, atendida por la Secretaría de Previsión Social. La página hub de trámites está vacía (texto de plantilla), por lo que la gestión real es presencial.</t>
  </si>
  <si>
    <t xml:space="preserve">https://luzyfuerzacapital.com.ar/guia-como-me-jubilo/</t>
  </si>
  <si>
    <t xml:space="preserve">Guía de jubilación: Novedades / biblioteca; ruta jubilatoria (P13) después.</t>
  </si>
  <si>
    <t xml:space="preserve">LYF-11</t>
  </si>
  <si>
    <t xml:space="preserve">Área de Reclamaciones</t>
  </si>
  <si>
    <t xml:space="preserve">Sección gremial para reclamos laborales de afiliados. Solo figura como enlace en el menú; no hay formulario ni descripción del circuito.</t>
  </si>
  <si>
    <t xml:space="preserve">https://luzyfuerzacapital.com.ar/area-de-reclamaciones/</t>
  </si>
  <si>
    <t xml:space="preserve">Área de reclamaciones: trámites (P10 tipifica).</t>
  </si>
  <si>
    <t xml:space="preserve">LYF-12</t>
  </si>
  <si>
    <t xml:space="preserve">Colegios, jardines y hogar de jubilados propios</t>
  </si>
  <si>
    <t xml:space="preserve">Instituciones educativas propias (colegios e institutos, jardines maternales) y un hogar de jubilados para afiliados y familias del sindicato de Capital. Inscripción y gestión presencial.</t>
  </si>
  <si>
    <t xml:space="preserve">https://luzyfuerzacapital.com.ar/colegios-e-institutos/</t>
  </si>
  <si>
    <t xml:space="preserve">Colegios, jardines y hogar: infraestructura.</t>
  </si>
  <si>
    <t xml:space="preserve">LYF-13</t>
  </si>
  <si>
    <t xml:space="preserve">Formación profesional y capacitación sindical (LyF Capital)</t>
  </si>
  <si>
    <t xml:space="preserve">Centro de formación profesional con cursos por zona y departamento de capacitación sindical; además 'Escuela de Artes y especialidades' con cartelera de talleres culturales. La web publica la oferta; inscripción presencial.</t>
  </si>
  <si>
    <t xml:space="preserve">https://luzyfuerzacapital.com.ar/capacitacion-sindical/</t>
  </si>
  <si>
    <t xml:space="preserve">Formación profesional y talleres: P22; talleres en P04.</t>
  </si>
  <si>
    <t xml:space="preserve">LYF-14</t>
  </si>
  <si>
    <t xml:space="preserve">Revista Dinamis (digital)</t>
  </si>
  <si>
    <t xml:space="preserve">Órgano oficial de difusión del sindicato de Capital, disponible en versión digital en la web.</t>
  </si>
  <si>
    <t xml:space="preserve">https://luzyfuerzacapital.com.ar/revista-dinamis/</t>
  </si>
  <si>
    <t xml:space="preserve">Revista digital: Novedades.</t>
  </si>
  <si>
    <t xml:space="preserve">PETROLEROS_PRIVADOS-1</t>
  </si>
  <si>
    <t xml:space="preserve">Afiliación conjunta sindicato + mutual</t>
  </si>
  <si>
    <t xml:space="preserve">El trabajador titular se presenta con DNI, informa la empresa empleadora y firma las notas de afiliación al sindicato y a la Mutual MEOPP en un solo acto, en el Edificio MEOPP (Santa Cruz 255, Neuquén) o delegaciones; la documentación también puede enviarse a afiliaciones@ospepri.org.ar. No hay formulario online.</t>
  </si>
  <si>
    <t xml:space="preserve">https://sindicatopetroleros.org/afiliaciones/</t>
  </si>
  <si>
    <t xml:space="preserve">Afiliación online (P08); alta conjunta a la mutual requiere P34.</t>
  </si>
  <si>
    <t xml:space="preserve">PETROLEROS_PRIVADOS-2</t>
  </si>
  <si>
    <t xml:space="preserve">Ayuda económica para el hogar</t>
  </si>
  <si>
    <t xml:space="preserve">Ayuda económica de hasta $200.000 para remodelación o ampliación de la vivienda del afiliado, publicada en la portada bajo 'Familia y Hogar'. La página de detalle está caída (404), por lo que no se conocen requisitos ni canal; presumiblemente se tramita en delegación.</t>
  </si>
  <si>
    <t xml:space="preserve">https://sindicatopetroleros.org/inicio/</t>
  </si>
  <si>
    <t xml:space="preserve">Ayuda para el hogar (P06).</t>
  </si>
  <si>
    <t xml:space="preserve">PETROLEROS_PRIVADOS-3</t>
  </si>
  <si>
    <t xml:space="preserve">Becas</t>
  </si>
  <si>
    <t xml:space="preserve">Programa de becas para afiliados/hijos listado en el menú 'Familia y Hogar'. Página de detalle no disponible (404); no se pudo verificar montos, niveles ni procedimiento.</t>
  </si>
  <si>
    <t xml:space="preserve">Becas como campaña (P04).</t>
  </si>
  <si>
    <t xml:space="preserve">PETROLEROS_PRIVADOS-4</t>
  </si>
  <si>
    <t xml:space="preserve">Subsidios</t>
  </si>
  <si>
    <t xml:space="preserve">Sección de subsidios (probablemente nacimiento, casamiento, fallecimiento) listada en el menú 'Familia y Hogar'. Página de detalle no disponible (404).</t>
  </si>
  <si>
    <t xml:space="preserve">Subsidios (P01).</t>
  </si>
  <si>
    <t xml:space="preserve">PETROLEROS_PRIVADOS-5</t>
  </si>
  <si>
    <t xml:space="preserve">Descuentos en comercios</t>
  </si>
  <si>
    <t xml:space="preserve">Red de comercios adheridos con descuentos para afiliados, listada en el menú 'Familia y Hogar'. Página de detalle no disponible (404); se presume que el afiliado se identifica con credencial en el comercio.</t>
  </si>
  <si>
    <t xml:space="preserve">Descuentos en comercios: Beneficios.</t>
  </si>
  <si>
    <t xml:space="preserve">PETROLEROS_PRIVADOS-6</t>
  </si>
  <si>
    <t xml:space="preserve">Turismo social con 50% de subsidio</t>
  </si>
  <si>
    <t xml:space="preserve">El sindicato subsidia el 50% del costo de estadías en hoteles del país para el afiliado y su familia, según la portada. La página de detalle devolvió error 500; no se conoce el mecanismo de reserva ni el tope.</t>
  </si>
  <si>
    <t xml:space="preserve">PETROLEROS_PRIVADOS-7</t>
  </si>
  <si>
    <t xml:space="preserve">Centros recreativos propios en 5 localidades</t>
  </si>
  <si>
    <t xml:space="preserve">Predios en Neuquén Capital, Plaza Huincul, Rincón de los Sauces, Catriel y Buta Ranquil con pileta, salón para 400 personas, canchas, fogones, parrillas y juegos. Acceso exclusivo para afiliados y cargas familiares con más de 6 meses de aportes a sindicato, obra social y mutual.</t>
  </si>
  <si>
    <t xml:space="preserve">https://sindicatopetroleros.org/beneficios/neuquen-capital/</t>
  </si>
  <si>
    <t xml:space="preserve">PETROLEROS_PRIVADOS-8</t>
  </si>
  <si>
    <t xml:space="preserve">Reserva online del salón de eventos</t>
  </si>
  <si>
    <t xml:space="preserve">El afiliado reserva el salón del centro recreativo (cumpleaños, casamientos, aniversarios del titular o familia directa) con 60 días de anticipación mediante un formulario online, y luego presenta reglamento firmado, pago de mantenimiento/limpieza y listado de invitados con DNI. Límite de una reserva anual por afiliado; incluye mesas, sillas, mantelería y vajilla.</t>
  </si>
  <si>
    <t xml:space="preserve">PETROLEROS_PRIVADOS-9</t>
  </si>
  <si>
    <t xml:space="preserve">Colonias y actividades de verano</t>
  </si>
  <si>
    <t xml:space="preserve">Colonias de vacaciones y actividades de verano para hijos de afiliados en los centros recreativos, con sección propia en el sitio. Inscripción presencial en delegaciones (no se detalla canal online).</t>
  </si>
  <si>
    <t xml:space="preserve">https://sindicatopetroleros.org/centros-recreativos/actividades-de-verano/</t>
  </si>
  <si>
    <t xml:space="preserve">Colonias: inscripciones (P04).</t>
  </si>
  <si>
    <t xml:space="preserve">PETROLEROS_PRIVADOS-10</t>
  </si>
  <si>
    <t xml:space="preserve">Deportes y cultura</t>
  </si>
  <si>
    <t xml:space="preserve">Secciones de Deportes y Cultura con eventos deportivos y culturales para las familias petroleras en los centros recreativos. Contenido principalmente de agenda/noticias; participación presencial.</t>
  </si>
  <si>
    <t xml:space="preserve">https://sindicatopetroleros.org/cultura/</t>
  </si>
  <si>
    <t xml:space="preserve">Deportes y cultura: Novedades e inscripciones (P04).</t>
  </si>
  <si>
    <t xml:space="preserve">PETROLEROS_PRIVADOS-11</t>
  </si>
  <si>
    <t xml:space="preserve">Mutual MEOPP y MEOPP ART</t>
  </si>
  <si>
    <t xml:space="preserve">Mutual propia del gremio a la que se afilia junto con el sindicato, y una ART mutual propia para cobertura de riesgos del trabajo de los petroleros. El sitio de la mutual no expone servicios legibles (créditos, proveeduría, etc. no verificables).</t>
  </si>
  <si>
    <t xml:space="preserve">https://meopp.mutual.ar/</t>
  </si>
  <si>
    <t xml:space="preserve">Mutual y ART propias como entidades vinculadas (P34).</t>
  </si>
  <si>
    <t xml:space="preserve">PETROLEROS_PRIVADOS-12</t>
  </si>
  <si>
    <t xml:space="preserve">Red de delegaciones</t>
  </si>
  <si>
    <t xml:space="preserve">Directorio de delegaciones en Río Negro, Neuquén y La Pampa con horarios (08:30-16:30) y teléfonos para trámites presenciales.</t>
  </si>
  <si>
    <t xml:space="preserve">https://sindicatopetroleros.org/delegaciones/</t>
  </si>
  <si>
    <t xml:space="preserve">Red de delegaciones (P28).</t>
  </si>
  <si>
    <t xml:space="preserve">SOESGyPE-1</t>
  </si>
  <si>
    <t xml:space="preserve">Afiliación (presencial / mail)</t>
  </si>
  <si>
    <t xml:space="preserve">Para afiliarse se presentan los últimos 3 recibos de sueldo con los descuentos y DNI; consultas a afiliaciones@soesgype.org.ar. No hay formulario online. Se recomienda verificar el grupo familiar en ANSES.</t>
  </si>
  <si>
    <t xml:space="preserve">https://soesgype.com.ar/sitio/afiliacion-sin.php</t>
  </si>
  <si>
    <t xml:space="preserve">Afiliación online (P08) con grupo familiar (P05).</t>
  </si>
  <si>
    <t xml:space="preserve">SOESGyPE-2</t>
  </si>
  <si>
    <t xml:space="preserve">Credenciales sindical y mutual</t>
  </si>
  <si>
    <t xml:space="preserve">Sección que muestra los modelos de credencial sindical y de la mutual (imágenes); ambas se exigen físicamente para cada beneficio. No se describe el trámite de emisión (presencial en sede/delegación).</t>
  </si>
  <si>
    <t xml:space="preserve">https://soesgype.com.ar/sitio/credenciales-sin.php</t>
  </si>
  <si>
    <t xml:space="preserve">Credencial digital; la de la mutual como segunda tarjeta en P19/P34.</t>
  </si>
  <si>
    <t xml:space="preserve">SOESGyPE-3</t>
  </si>
  <si>
    <t xml:space="preserve">Escalas salariales por convenio (8 CCT, 2015-2026)</t>
  </si>
  <si>
    <t xml:space="preserve">Repositorio de PDFs de escalas y acuerdos organizados por convenio y sector: estaciones de servicio (CCT 317/99 AES, 371/03 CECHA, 488/07 FECOBA, 521/07 FECRA, 415/05 CEGENECE), garages y playas (428/05, 772/19) y lavaderos (427/05), con acuerdos hasta julio 2026. Sin calculadora ni buscador.</t>
  </si>
  <si>
    <t xml:space="preserve">https://soesgype.com.ar/sitio/escalas-sin.php</t>
  </si>
  <si>
    <t xml:space="preserve">Escalas de 8 convenios: Fórmulas por convenio + Novedades; buscador en P14.</t>
  </si>
  <si>
    <t xml:space="preserve">SOESGyPE-4</t>
  </si>
  <si>
    <t xml:space="preserve">Convenios colectivos</t>
  </si>
  <si>
    <t xml:space="preserve">Sección con los textos de los convenios colectivos vigentes del sector para consulta de trabajadores y empresas.</t>
  </si>
  <si>
    <t xml:space="preserve">https://soesgype.com.ar/sitio/convenios-sin.php</t>
  </si>
  <si>
    <t xml:space="preserve">Convenios: Novedades.</t>
  </si>
  <si>
    <t xml:space="preserve">SOESGyPE-5</t>
  </si>
  <si>
    <t xml:space="preserve">Portal Empresas y pago de Fondo Convencional CCT 521</t>
  </si>
  <si>
    <t xml:space="preserve">Portal con login para empleadores (soesgype.ar) para declarar aportes y consultar períodos de contribución patronal extraordinaria; página aparte con CBU y link al portal de FECRA (fecrausers.com.ar) para pagos del Fondo Convencional Ordinario del CCT 521. Dirigido a estaciones de servicio empleadoras.</t>
  </si>
  <si>
    <t xml:space="preserve">https://soesgype.ar/Account/Login</t>
  </si>
  <si>
    <t xml:space="preserve">Portal empresas y fondo convencional: P15.</t>
  </si>
  <si>
    <t xml:space="preserve">SOESGyPE-6</t>
  </si>
  <si>
    <t xml:space="preserve">Subsidios por nacimiento, casamiento y fallecimiento (mutual)</t>
  </si>
  <si>
    <t xml:space="preserve">La mutual paga un subsidio equivalente a 20 cuotas sociales por cada evento. Requisitos: socio activo con descuento en nómina, carnet de socio, DNI y documentación del hecho; plazo máximo 90 días desde el evento (después caduca). Se presenta en sede y se paga dentro de 15 días.</t>
  </si>
  <si>
    <t xml:space="preserve">https://soesgype.com.ar/sitio/beneficios-mut.php</t>
  </si>
  <si>
    <t xml:space="preserve">P01, P34</t>
  </si>
  <si>
    <t xml:space="preserve">Subsidios en cuotas sociales con caducidad (P01).</t>
  </si>
  <si>
    <t xml:space="preserve">SOESGyPE-7</t>
  </si>
  <si>
    <t xml:space="preserve">Leche maternizada gratuita (3 meses)</t>
  </si>
  <si>
    <t xml:space="preserve">Entrega gratuita de leche maternizada durante los primeros 3 meses de vida del bebé, con receta médica, recibo de sueldo con descuento mutual, carnets y partida de nacimiento.</t>
  </si>
  <si>
    <t xml:space="preserve">Leche maternizada: insumo de salud.</t>
  </si>
  <si>
    <t xml:space="preserve">SOESGyPE-8</t>
  </si>
  <si>
    <t xml:space="preserve">Kit completo para recién nacido (moisés, portaenfant, bolso cambiador, pañales, termómetro, mamadera, chupete, babero, mordillo y leche en polvo). Se retira en cualquier delegación, en la mutual o en los consultorios Dr. Carrillo con certificado de nacimiento, recibo y carnets.</t>
  </si>
  <si>
    <t xml:space="preserve">Ajuar retirable en cualquier delegación: subsidio en especie con retiro por sede (P01/P04).</t>
  </si>
  <si>
    <t xml:space="preserve">SOESGyPE-9</t>
  </si>
  <si>
    <t xml:space="preserve">Guardapolvos, mochilas y útiles escolares</t>
  </si>
  <si>
    <t xml:space="preserve">Para hijos de afiliados en primaria/secundaria básica; requiere un año de antigüedad como afiliado, último recibo, certificado de escolaridad, DNI, carnet sindical con cuota al día y carnet mutual. Se retira en la sede de la mutual.</t>
  </si>
  <si>
    <t xml:space="preserve">Útiles con antigüedad mínima: campaña (P04).</t>
  </si>
  <si>
    <t xml:space="preserve">SOESGyPE-10</t>
  </si>
  <si>
    <t xml:space="preserve">Asesoramiento jurídico y jubilatorio (mutual)</t>
  </si>
  <si>
    <t xml:space="preserve">Asesoría legal y previsional para asociados, atendida en la sede de la mutual.</t>
  </si>
  <si>
    <t xml:space="preserve">SOESGyPE-11</t>
  </si>
  <si>
    <t xml:space="preserve">Servicios complementarios: óptica/ortopedia 40%, peluquería, podología, manicura</t>
  </si>
  <si>
    <t xml:space="preserve">Prestaciones no médicas de la mutual: 40% de descuento en óptica y ortopedia, y servicios de peluquería, podología y manicura en sede (también ofrece odontología, excluida por ser salud).</t>
  </si>
  <si>
    <t xml:space="preserve">Servicios en sede (peluquería, podología) y prestaciones de salud.</t>
  </si>
  <si>
    <t xml:space="preserve">SOESGyPE-12</t>
  </si>
  <si>
    <t xml:space="preserve">Capacitación profesional (mutual)</t>
  </si>
  <si>
    <t xml:space="preserve">Cursos en cuatro categorías, de 4 meses de duración, presenciales dos veces por semana en Alsina 2072; inscripción por teléfono o mail capacitacion@mutual27deagosto.org.ar.</t>
  </si>
  <si>
    <t xml:space="preserve">https://soesgype.com.ar/sitio/capacitacion-mut.php</t>
  </si>
  <si>
    <t xml:space="preserve">Capacitación de la mutual: P22/P34.</t>
  </si>
  <si>
    <t xml:space="preserve">SOESGyPE-13</t>
  </si>
  <si>
    <t xml:space="preserve">Cobertura de sepelio para afiliados, con sección propia en el menú; la web no publica cobertura ni procedimiento (consulta en delegaciones).</t>
  </si>
  <si>
    <t xml:space="preserve">https://soesgype.com.ar/sitio/sepelio-sin.php</t>
  </si>
  <si>
    <t xml:space="preserve">SOESGyPE-14</t>
  </si>
  <si>
    <t xml:space="preserve">Turismo: temporada en San Bernardo y hotel propio en construcción</t>
  </si>
  <si>
    <t xml:space="preserve">Inscripción anual a la temporada de verano en San Bernardo con tarifas publicadas como imagen; el sindicato está construyendo un hotel propio para afiliados. La inscripción se hace por contacto/delegaciones.</t>
  </si>
  <si>
    <t xml:space="preserve">https://soesgype.com.ar/sitio/turismo-sin.php</t>
  </si>
  <si>
    <t xml:space="preserve">SOESGyPE-15</t>
  </si>
  <si>
    <t xml:space="preserve">Red de 6 campings y predios recreativos en GBA</t>
  </si>
  <si>
    <t xml:space="preserve">Campings '17 de Octubre' (E. Echeverría), 'Eva Perón' (Pontevedra), 'Las Clavelinas' (Maschwitz), Parque Presidente Perón (Moreno), Camping 7 (Río Luján) y 'La Amistad' (Berazategui). Ingreso con carnet sindical actualizado, recibo de sueldo y documentación del vínculo familiar; contacto telefónico directo con cada predio.</t>
  </si>
  <si>
    <t xml:space="preserve">https://soesgype.com.ar/sitio/recreacion-sin.php</t>
  </si>
  <si>
    <t xml:space="preserve">SOESGyPE-16</t>
  </si>
  <si>
    <t xml:space="preserve">Servicio de ambulancias SERCA y DataSalud</t>
  </si>
  <si>
    <t xml:space="preserve">Línea de ambulancias 5550-9222 y acceso al sistema de salud digital DataSalud, ambos vinculados desde la home (prestación de salud, se anota solo como referencia, excluida del alcance).</t>
  </si>
  <si>
    <t xml:space="preserve">https://soesgype.com.ar/sitio/inicio-sin.php</t>
  </si>
  <si>
    <t xml:space="preserve">Ambulancias y salud digital.</t>
  </si>
  <si>
    <t xml:space="preserve">SOESGyPE-17</t>
  </si>
  <si>
    <t xml:space="preserve">Delegaciones zonales</t>
  </si>
  <si>
    <t xml:space="preserve">Listado de delegaciones (Capital, Zona Norte, Oeste y Sur) con teléfonos para trámites presenciales.</t>
  </si>
  <si>
    <t xml:space="preserve">https://soesgype.com.ar/sitio/delegaciones-sin.php</t>
  </si>
  <si>
    <t xml:space="preserve">Delegaciones (P28).</t>
  </si>
  <si>
    <t xml:space="preserve">STIHMPRA-1</t>
  </si>
  <si>
    <t xml:space="preserve">Guardapolvos para hijos en primaria</t>
  </si>
  <si>
    <t xml:space="preserve">El sindicato entrega guardapolvos a hijos de afiliados que cursan la escuela primaria, contra presentación de documentación que acredite la escolaridad. Trámite en seccional.</t>
  </si>
  <si>
    <t xml:space="preserve">https://stihmpra.org.ar/beneficios.php</t>
  </si>
  <si>
    <t xml:space="preserve">Guardapolvos: campaña (P04).</t>
  </si>
  <si>
    <t xml:space="preserve">STIHMPRA-2</t>
  </si>
  <si>
    <t xml:space="preserve">Leche en polvo para bebés hasta 1 año</t>
  </si>
  <si>
    <t xml:space="preserve">Provisión de leche en polvo para hijos de afiliados desde el nacimiento hasta el primer año, con prescripción médica.</t>
  </si>
  <si>
    <t xml:space="preserve">Leche en polvo: insumo de salud.</t>
  </si>
  <si>
    <t xml:space="preserve">STIHMPRA-3</t>
  </si>
  <si>
    <t xml:space="preserve">Cobertura de sepelio para el afiliado titular y su grupo familiar primario, incluida en la afiliación.</t>
  </si>
  <si>
    <t xml:space="preserve">STIHMPRA-4</t>
  </si>
  <si>
    <t xml:space="preserve">Afiliación e inscripción (fichas PDF)</t>
  </si>
  <si>
    <t xml:space="preserve">Página única que explica la inscripción de empresas, de trabajadores, la afiliación sindical y la cobertura de obra social; se descargan la ficha de afiliación y la DDJJ en PDF y se presentan con DNI, alta temprana, recibos y foto 4x4 (más documentación de familiares).</t>
  </si>
  <si>
    <t xml:space="preserve">https://stihmpra.org.ar/inscripciones.php</t>
  </si>
  <si>
    <t xml:space="preserve">Afiliación online (P08) e inscripción de empresas en Empleadores.</t>
  </si>
  <si>
    <t xml:space="preserve">STIHMPRA-5</t>
  </si>
  <si>
    <t xml:space="preserve">Escalas salariales por rama y convenio</t>
  </si>
  <si>
    <t xml:space="preserve">Escalas de la rama Hielo y de la rama Mercado, convenio colectivo, régimen de tiempo parcial y tabla de aportes y contribuciones, publicados en la web.</t>
  </si>
  <si>
    <t xml:space="preserve">https://stihmpra.org.ar/escalas-hielo.php</t>
  </si>
  <si>
    <t xml:space="preserve">Escalas por rama: Fórmulas + Novedades.</t>
  </si>
  <si>
    <t xml:space="preserve">STIHMPRA-6</t>
  </si>
  <si>
    <t xml:space="preserve">Hoteles en Mar del Plata y Villa Carlos Paz</t>
  </si>
  <si>
    <t xml:space="preserve">Dos hoteles propios para turismo de afiliados con página propia cada uno; la reserva se gestiona por contacto con el sindicato (no hay reserva online).</t>
  </si>
  <si>
    <t xml:space="preserve">https://stihmpra.org.ar/hotel-mdq.php</t>
  </si>
  <si>
    <t xml:space="preserve">STIHMPRA-7</t>
  </si>
  <si>
    <t xml:space="preserve">Portal de boletas de pago para empresas</t>
  </si>
  <si>
    <t xml:space="preserve">Las empresas se registran online con CUIT, generan boletas de aportes sindicales y de obra social y consultan el CBU para pagar; con recuperación de clave.</t>
  </si>
  <si>
    <t xml:space="preserve">https://stihmpra.org.ar/boleta/boletas.php</t>
  </si>
  <si>
    <t xml:space="preserve">Boletas para empresas: P15.</t>
  </si>
  <si>
    <t xml:space="preserve">STIHMPRA-8</t>
  </si>
  <si>
    <t xml:space="preserve">Transparencia electoral online</t>
  </si>
  <si>
    <t xml:space="preserve">Sección Elecciones 2026 con publicación de actas de la junta electoral y formularios electorales descargables para afiliados.</t>
  </si>
  <si>
    <t xml:space="preserve">https://stihmpra.org.ar/actas_elecciones.php</t>
  </si>
  <si>
    <t xml:space="preserve">Transparencia electoral (P33, ola 2, esfuerzo bajo).</t>
  </si>
  <si>
    <t xml:space="preserve">STVyARA-1</t>
  </si>
  <si>
    <t xml:space="preserve">El trabajador descarga tres hojas de formulario (datos personales, lugar de trabajo con fecha de ingreso y funciones, y autorización de descuento de cuota sindical por recibo), las firma en original y las envía por correo postal a la sede central (Solís 550, CABA), desde donde se remiten a RRHH de Vialidad Nacional. No hay formulario online.</t>
  </si>
  <si>
    <t xml:space="preserve">https://www.sindicatoviales.org.ar/afiliese/</t>
  </si>
  <si>
    <t xml:space="preserve">STVyARA-2</t>
  </si>
  <si>
    <t xml:space="preserve">Actas paritarias y presentaciones gremiales</t>
  </si>
  <si>
    <t xml:space="preserve">Repositorio público de actas paritarias, presentaciones formales ante organismos y registro de acciones gremiales y asambleas, consultable por cualquier trabajador vial desde la web.</t>
  </si>
  <si>
    <t xml:space="preserve">https://www.sindicatoviales.org.ar/actas-paritarias/</t>
  </si>
  <si>
    <t xml:space="preserve">Actas y presentaciones: Novedades.</t>
  </si>
  <si>
    <t xml:space="preserve">STVyARA-3</t>
  </si>
  <si>
    <t xml:space="preserve">Subsidios con montos actualizados</t>
  </si>
  <si>
    <t xml:space="preserve">Sección de subsidios sociales cuya nota más reciente es 'Nuevos montos de subsidio agosto 2026', lo que indica un esquema de subsidios (tipo nacimiento, casamiento, fallecimiento u otros) con montos publicados periódicamente. La web no detalla el listado ni el procedimiento de solicitud; se gestiona vía seccional/distrito.</t>
  </si>
  <si>
    <t xml:space="preserve">https://www.sindicatoviales.org.ar/subsidios/</t>
  </si>
  <si>
    <t xml:space="preserve">Subsidios con montos actualizados (P01).</t>
  </si>
  <si>
    <t xml:space="preserve">STVyARA-4</t>
  </si>
  <si>
    <t xml:space="preserve">Ayuda económica</t>
  </si>
  <si>
    <t xml:space="preserve">Programa 'Ayuda Económica 2026' publicado en Beneficios Sociales, aparentemente una asistencia dineraria a afiliados; la página solo muestra el título y remite a la nota.</t>
  </si>
  <si>
    <t xml:space="preserve">https://www.sindicatoviales.org.ar/beneficios/</t>
  </si>
  <si>
    <t xml:space="preserve">Ayuda económica (P06).</t>
  </si>
  <si>
    <t xml:space="preserve">STVyARA-5</t>
  </si>
  <si>
    <t xml:space="preserve">Sorteo mensual entre afiliados</t>
  </si>
  <si>
    <t xml:space="preserve">Sorteo mensual con premios para afiliados, difundido en la sección de beneficios. Mecánica no detallada en la web.</t>
  </si>
  <si>
    <t xml:space="preserve">STVyARA-6</t>
  </si>
  <si>
    <t xml:space="preserve">Entrega de útiles escolares y mochilas</t>
  </si>
  <si>
    <t xml:space="preserve">Entrega anual de útiles escolares y mochilas para hijos de afiliados (ediciones 2024 y 2026 publicadas), organizada por distrito.</t>
  </si>
  <si>
    <t xml:space="preserve">STVyARA-7</t>
  </si>
  <si>
    <t xml:space="preserve">Presentes por fechas (Día del Padre, Navidad)</t>
  </si>
  <si>
    <t xml:space="preserve">Entrega de presentes navideños y por el Día del Padre, en algunos casos limitados a un distrito (ej. presentes navideños 2024 solo 1° Distrito Buenos Aires).</t>
  </si>
  <si>
    <t xml:space="preserve">Presentes por fechas: vouchers/campañas (P02/P04).</t>
  </si>
  <si>
    <t xml:space="preserve">STVyARA-8</t>
  </si>
  <si>
    <t xml:space="preserve">Turismo (convenios)</t>
  </si>
  <si>
    <t xml:space="preserve">Promociones y beneficios turísticos difundidos por una cuenta de Instagram dedicada (@turismo_sindiviales) y gestionados por mail (stvyara.turismo@gmail.com). No se detectaron hoteles propios ni portal de reservas.</t>
  </si>
  <si>
    <t xml:space="preserve">https://www.sindicatoviales.org.ar/turismo/</t>
  </si>
  <si>
    <t xml:space="preserve">STVyARA-9</t>
  </si>
  <si>
    <t xml:space="preserve">Certamen fotográfico</t>
  </si>
  <si>
    <t xml:space="preserve">Concurso de fotografía para afiliados organizado por la Secretaría de Acción Social, con sección propia en la web.</t>
  </si>
  <si>
    <t xml:space="preserve">https://www.sindicatoviales.org.ar/certamen-fotografico/</t>
  </si>
  <si>
    <t xml:space="preserve">Certamen: campaña con inscripción (P04).</t>
  </si>
  <si>
    <t xml:space="preserve">STVyARA-10</t>
  </si>
  <si>
    <t xml:space="preserve">Capacitación en maquinaria vial</t>
  </si>
  <si>
    <t xml:space="preserve">Cursos prácticos de operación de motoniveladora, retroexcavadora/retropala, rodillo compactador, tractor con desmalezadora, excavadora con oruga y autoelevadores, dictados por distrito en distintas provincias, más cursos no técnicos (comunicación sindical, activos digitales, salud y seguridad laboral). Inscripción por contacto con el sindicato; no hay formulario online.</t>
  </si>
  <si>
    <t xml:space="preserve">https://www.sindicatoviales.org.ar/capacitacion/</t>
  </si>
  <si>
    <t xml:space="preserve">P22, P23</t>
  </si>
  <si>
    <t xml:space="preserve">Cursos por distrito con cupo (P22/P04).</t>
  </si>
  <si>
    <t xml:space="preserve">STVyARA-11</t>
  </si>
  <si>
    <t xml:space="preserve">Flyers y comunicación gremial</t>
  </si>
  <si>
    <t xml:space="preserve">Sección de flyers descargables, videos y noticias, más WhatsApp institucional (+54 9 11 4381 3913) como canal de contacto.</t>
  </si>
  <si>
    <t xml:space="preserve">https://www.sindicatoviales.org.ar/flyers/</t>
  </si>
  <si>
    <t xml:space="preserve">P16, P27</t>
  </si>
  <si>
    <t xml:space="preserve">Flyers y comunicación: Novedades; WhatsApp en P27.</t>
  </si>
  <si>
    <t xml:space="preserve">UOM-1</t>
  </si>
  <si>
    <t xml:space="preserve">Sección con acuerdos salariales 2020-2026 ordenados cronológicamente y escalas en PDF por rama (Aluminio, Automotor, Rama 10, 5/8/12/18, 17), más actas, homologaciones y seguro de vida. El trabajador descarga desde enlaces a Google Drive o PDF en servidor; no hay buscador ni calculadora.</t>
  </si>
  <si>
    <t xml:space="preserve">https://uom.org.ar/?page_id=325</t>
  </si>
  <si>
    <t xml:space="preserve">Escalas por rama en Fórmulas/Conceptos y Novedades; buscador por rama y categoría en P14 (corto).</t>
  </si>
  <si>
    <t xml:space="preserve">UOM-2</t>
  </si>
  <si>
    <t xml:space="preserve">Legislación laboral</t>
  </si>
  <si>
    <t xml:space="preserve">Repositorio de normativa laboral (LCT, leyes y decretos) para consulta del trabajador metalúrgico. Solo lectura/descarga.</t>
  </si>
  <si>
    <t xml:space="preserve">https://uom.org.ar/?page_id=327</t>
  </si>
  <si>
    <t xml:space="preserve">Legislación: Novedades / biblioteca.</t>
  </si>
  <si>
    <t xml:space="preserve">UOM-3</t>
  </si>
  <si>
    <t xml:space="preserve">Formularios de alta y baja de empresas</t>
  </si>
  <si>
    <t xml:space="preserve">Formularios descargables para que los empleadores den de alta/baja establecimientos ante la UOM (aportes). Dirigido a empresas, no a afiliados.</t>
  </si>
  <si>
    <t xml:space="preserve">Alta/baja de empresas: Empleadores.</t>
  </si>
  <si>
    <t xml:space="preserve">UOM-4</t>
  </si>
  <si>
    <t xml:space="preserve">Boletas UOM (sistema de boletas de aportes)</t>
  </si>
  <si>
    <t xml:space="preserve">Aplicación web separada (uomboletas.com.ar) para emisión de boletas; por el patrón del sector es para que las empresas generen boletas de aportes y contribuciones. No se pudo verificar contenido ni login.</t>
  </si>
  <si>
    <t xml:space="preserve">https://www.uomboletas.com.ar/</t>
  </si>
  <si>
    <t xml:space="preserve">Boletas UOM: P15.</t>
  </si>
  <si>
    <t xml:space="preserve">UOM-5</t>
  </si>
  <si>
    <t xml:space="preserve">Hoteles propios UOMRA</t>
  </si>
  <si>
    <t xml:space="preserve">Hotel UOMRA en CABA (a metros del Obelisco), Hotel UOMRA ex Ducal en Mar del Plata, Hotel UOMRA ex Libertador en Villa Carlos Paz y Hotel Santa Bárbara en La Falda (desayuno, media pensión o pensión completa). Para afiliados y grupo familiar con tarifas bonificadas; la reserva se gestiona a través de la seccional local o teléfono +5411-6345-5000.</t>
  </si>
  <si>
    <t xml:space="preserve">https://uom.org.ar/?page_id=2367</t>
  </si>
  <si>
    <t xml:space="preserve">UOM-6</t>
  </si>
  <si>
    <t xml:space="preserve">Campings sindicales</t>
  </si>
  <si>
    <t xml:space="preserve">Camping Ruta Sol (Esteban Echeverría), Camping Cro. Pancho Medina (Campana) y Camping Anselmo Amado (Villa Mercedes) para afiliados y familias. Información en web; acceso/reserva vía seccional.</t>
  </si>
  <si>
    <t xml:space="preserve">https://uom.org.ar/?cat=11</t>
  </si>
  <si>
    <t xml:space="preserve">UOM-7</t>
  </si>
  <si>
    <t xml:space="preserve">Hoteles conveniados (convenio UOMRA-AOTRA)</t>
  </si>
  <si>
    <t xml:space="preserve">Tarifas especiales para afiliados en Hotel Paraíso Termal (Federación, ER), Colonia Parque Hotel (La Falda), Hotel Tourbillon Cataratas (Iguazú) y Hoteles Grupo Clima (Merlo, San Luis). El afiliado reserva directamente en el establecimiento acreditando afiliación.</t>
  </si>
  <si>
    <t xml:space="preserve">https://uom.org.ar/?cat=15</t>
  </si>
  <si>
    <t xml:space="preserve">Hoteles conveniados: Beneficios.</t>
  </si>
  <si>
    <t xml:space="preserve">UOM-8</t>
  </si>
  <si>
    <t xml:space="preserve">Descuento en pasajes Ruta Atlántica</t>
  </si>
  <si>
    <t xml:space="preserve">20% de descuento en pasajes de la empresa de transporte Ruta Atlántica para afiliados y grupo familiar directo, presentando credencial.</t>
  </si>
  <si>
    <t xml:space="preserve">https://uom.org.ar/?p=1678</t>
  </si>
  <si>
    <t xml:space="preserve">UOM-9</t>
  </si>
  <si>
    <t xml:space="preserve">Red de Centros de Formación</t>
  </si>
  <si>
    <t xml:space="preserve">Portal de formación y capacitación profesional (reddecentros.uom.org.ar) con centros de formación de la UOM en el país para oficios metalúrgicos. No se pudo verificar la oferta ni el modo de inscripción.</t>
  </si>
  <si>
    <t xml:space="preserve">http://reddecentros.uom.org.ar/</t>
  </si>
  <si>
    <t xml:space="preserve">Red de centros de formación: P22.</t>
  </si>
  <si>
    <t xml:space="preserve">UOM-10</t>
  </si>
  <si>
    <t xml:space="preserve">Departamento de Higiene y Seguridad Laboral</t>
  </si>
  <si>
    <t xml:space="preserve">Área institucional que asesora sobre condiciones de trabajo, riesgos y prevención en plantas metalúrgicas. Contacto vía seccional/mail; sin formulario de denuncia online.</t>
  </si>
  <si>
    <t xml:space="preserve">https://uom.org.ar/?page_id=440</t>
  </si>
  <si>
    <t xml:space="preserve">Higiene y seguridad: encuestas (P30) y trámite.</t>
  </si>
  <si>
    <t xml:space="preserve">UOM-11</t>
  </si>
  <si>
    <t xml:space="preserve">Descuentos en medicamentos vía obra social (fuente OSUOMRA)</t>
  </si>
  <si>
    <t xml:space="preserve">La home promociona descuentos de 70% y 100% en medicamentos y para diabéticos en red de farmacias de la obra social OSUOMRA. Es prestación de obra social (excluida); se anota solo como referencia.</t>
  </si>
  <si>
    <t xml:space="preserve">https://osuomra.org.ar</t>
  </si>
  <si>
    <t xml:space="preserve">Descuentos de obra social.</t>
  </si>
  <si>
    <t xml:space="preserve">UOM-12</t>
  </si>
  <si>
    <t xml:space="preserve">Directorio de seccionales y contacto</t>
  </si>
  <si>
    <t xml:space="preserve">Listado de seccionales con datos de contacto; es el canal real de todos los trámites (afiliación, turismo, reclamos). Formulario de contacto genérico en la home.</t>
  </si>
  <si>
    <t xml:space="preserve">https://uom.org.ar/?page_id=512</t>
  </si>
  <si>
    <t xml:space="preserve">Directorio de seccionales (P28).</t>
  </si>
  <si>
    <t xml:space="preserve">UTA-1</t>
  </si>
  <si>
    <t xml:space="preserve">Afiliación en 3 pasos (formulario web + presencial)</t>
  </si>
  <si>
    <t xml:space="preserve">El sitio propone un proceso en tres pasos: completar un formulario online (Contact Form 7, datos básicos de contacto), presentar la documentación en las oficinas de Moreno 2969 (lunes a viernes 9 a 17 hs) y recién entonces acceder a los beneficios. El formulario web solo inicia el trámite; la afiliación se concreta presencialmente.</t>
  </si>
  <si>
    <t xml:space="preserve">https://www.utaargentina.com/afiliate-a-uta/</t>
  </si>
  <si>
    <t xml:space="preserve">Afiliación en 3 pasos → online (P08).</t>
  </si>
  <si>
    <t xml:space="preserve">UTA-2</t>
  </si>
  <si>
    <t xml:space="preserve">Hotel '17 de Octubre' (Mar del Plata)</t>
  </si>
  <si>
    <t xml:space="preserve">Hotel propio de 46 habitaciones / 140 plazas, exclusivo para afiliados y su grupo familiar, con desayuno, TV y computadoras. Tarifa publicada por día por persona; la reserva se hace presencialmente en la Secretaría de Turismo (Moreno 3053) o por teléfono (4011-5100 int. 223), presentando carnet sindical, último recibo de haberes y DNI.</t>
  </si>
  <si>
    <t xml:space="preserve">https://www.utaargentina.com/turismo/</t>
  </si>
  <si>
    <t xml:space="preserve">UTA-3</t>
  </si>
  <si>
    <t xml:space="preserve">Colonia 'San Antonio' (Valle Hermoso, Córdoba)</t>
  </si>
  <si>
    <t xml:space="preserve">Colonia de vacaciones con pensión completa (desayuno, almuerzo, cena), pileta y cancha de fútbol. Tarifas diferenciadas por edad (mayores de 11, 3 a 11, menores de 3 sin cargo). Se reserva con un adelanto del 30% en efectivo o transferencia, gestionado con la Secretaría de Turismo por teléfono o en persona.</t>
  </si>
  <si>
    <t xml:space="preserve">UTA-4</t>
  </si>
  <si>
    <t xml:space="preserve">Colonia '22 de Agosto' (Moreno) y Polideportivo '2 de Enero' (Cañuelas)</t>
  </si>
  <si>
    <t xml:space="preserve">Campos de recreación de acceso gratuito para afiliados y familia presentando la credencial sindical en la entrada (abierto todo el año salvo lunes y feriados). No requiere reserva; el control es la credencial física.</t>
  </si>
  <si>
    <t xml:space="preserve">Acceso a predios mostrando la credencial digital; registro de uso en P19.</t>
  </si>
  <si>
    <t xml:space="preserve">UTA-5</t>
  </si>
  <si>
    <t xml:space="preserve">Beneficio por casamiento (luna de miel)</t>
  </si>
  <si>
    <t xml:space="preserve">Siete días de hospedaje con desayuno en el Hotel 17 de Octubre para afiliados que se casan, con requisito de 6 meses de antigüedad sindical. Se gestiona en la Secretaría de Turismo con la documentación del afiliado.</t>
  </si>
  <si>
    <t xml:space="preserve">Luna de miel con antigüedad: voucher (P02).</t>
  </si>
  <si>
    <t xml:space="preserve">UTA-6</t>
  </si>
  <si>
    <t xml:space="preserve">Sección de actividades deportivas para afiliados (torneos y actividades en los predios propios). El sitio solo enuncia 'múltiples actividades' sin detallar inscripción ni calendario.</t>
  </si>
  <si>
    <t xml:space="preserve">https://www.utaargentina.com/deportes/</t>
  </si>
  <si>
    <t xml:space="preserve">UTA-7</t>
  </si>
  <si>
    <t xml:space="preserve">Área de Mujer</t>
  </si>
  <si>
    <t xml:space="preserve">Programas y actividades dirigidos a afiliadas (género). Solo se enuncia como sección; no se describe un servicio operativo concreto.</t>
  </si>
  <si>
    <t xml:space="preserve">https://www.utaargentina.com/mujer</t>
  </si>
  <si>
    <t xml:space="preserve">Área de mujer: perfil de área y trámites.</t>
  </si>
  <si>
    <t xml:space="preserve">UTA-8</t>
  </si>
  <si>
    <t xml:space="preserve">Revista KM Cero</t>
  </si>
  <si>
    <t xml:space="preserve">Publicación sindical periódica con noticias gremiales, disponible en la web. Canal de comunicación unidireccional hacia los afiliados.</t>
  </si>
  <si>
    <t xml:space="preserve">https://www.utaargentina.com/revista-km-cero/</t>
  </si>
  <si>
    <t xml:space="preserve">Revista: Novedades.</t>
  </si>
  <si>
    <t xml:space="preserve">UTA-9</t>
  </si>
  <si>
    <t xml:space="preserve">Préstamos con retención de haberes (Mutual UTA)</t>
  </si>
  <si>
    <t xml:space="preserve">La Mutual otorga préstamos personales a socios que se descuentan directamente del recibo de sueldo. La solicitud se inicia por WhatsApp (11-6336-9160) y se completa con documentación; no hay solicitud 100% online.</t>
  </si>
  <si>
    <t xml:space="preserve">https://www.mutualuta.com.ar/site/</t>
  </si>
  <si>
    <t xml:space="preserve">Préstamos con retención (P06).</t>
  </si>
  <si>
    <t xml:space="preserve">UTA-10</t>
  </si>
  <si>
    <t xml:space="preserve">Bonos virtuales y descuentos en comercios (Mutual UTA)</t>
  </si>
  <si>
    <t xml:space="preserve">La Mutual ofrece 'Bonos Virtuales' (órdenes de compra/consumo digitales) y descuentos en comercios adheridos y en pasajes de larga distancia para socios. El detalle operativo no está publicado; se accede desde el portal de socios / credencial online.</t>
  </si>
  <si>
    <t xml:space="preserve">Bonos virtuales (P24).</t>
  </si>
  <si>
    <t xml:space="preserve">UTA-11</t>
  </si>
  <si>
    <t xml:space="preserve">Subsidios, becas escolares y sepelio (Mutual UTA)</t>
  </si>
  <si>
    <t xml:space="preserve">La Mutual cubre subsidios (no detallados), becas escolares para hijos de socios y servicio de sepelio con líneas telefónicas específicas 24 hs. Se gestionan por teléfono/WhatsApp y con documentación presencial.</t>
  </si>
  <si>
    <t xml:space="preserve">Subsidios, becas y sepelio de la mutual (P01/P04/P29); entidad en P34.</t>
  </si>
  <si>
    <t xml:space="preserve">UTA-12</t>
  </si>
  <si>
    <t xml:space="preserve">Credencial online de socio (Mutual UTA)</t>
  </si>
  <si>
    <t xml:space="preserve">Portal web de socios de la Mutual donde el afiliado obtiene su credencial digital (servicios.mutualuta.com.ar/Socio/Credencial) para acreditarse ante prestadores y comercios adheridos.</t>
  </si>
  <si>
    <t xml:space="preserve">Credencial digital (la de la mutual como segunda tarjeta en P19/P34).</t>
  </si>
  <si>
    <t xml:space="preserve">UTA-13</t>
  </si>
  <si>
    <t xml:space="preserve">Asesoramiento legal (Mutual UTA)</t>
  </si>
  <si>
    <t xml:space="preserve">La Mutual enumera 'asesoramiento legal' entre sus servicios a socios; se solicita por los canales de WhatsApp de consultas generales (11-3220-1180 / 11-4041-3400). Sin detalle de alcance.</t>
  </si>
  <si>
    <t xml:space="preserve">Asesoramiento legal: consulta por trámite.</t>
  </si>
  <si>
    <t xml:space="preserve">Servicios</t>
  </si>
  <si>
    <t xml:space="preserve">Cubrible hoy + corto</t>
  </si>
  <si>
    <t xml:space="preserve">% cubrible</t>
  </si>
  <si>
    <t xml:space="preserve">Vacancias digitales</t>
  </si>
  <si>
    <t xml:space="preserve">Vacancias cubribles a corto plazo</t>
  </si>
  <si>
    <t xml:space="preserve">% vacancias cubribles</t>
  </si>
  <si>
    <t xml:space="preserve">TOTAL</t>
  </si>
  <si>
    <t xml:space="preserve">Niveles: Hoy = la versión actual de Colm3na resuelve el servicio o su parte digitalizable (incluye reservas con formularios encadenados y confirmación semiautomática); Corto plazo = con propuestas de ola 1; Desarrollo mayor = olas 2 y 3; No aplica = infraestructura física, salud, medios, vivienda. Vacancia digital = servicio semi-online o presencial. Clasificación por reglas + revisión manual (ver hoja Servicios).</t>
  </si>
  <si>
    <t xml:space="preserve">Calidad</t>
  </si>
  <si>
    <t xml:space="preserve">Total</t>
  </si>
  <si>
    <t xml:space="preserve">Sindicatos por propuesta</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</si>
</sst>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0A01E"/>
      <name val="Arial"/>
      <family val="0"/>
      <charset val="1"/>
    </font>
    <font>
      <i val="true"/>
      <sz val="9"/>
      <name val="Arial"/>
      <family val="0"/>
      <charset val="1"/>
    </font>
  </fonts>
  <fills count="3">
    <fill>
      <patternFill patternType="none"/>
    </fill>
    <fill>
      <patternFill patternType="gray125"/>
    </fill>
    <fill>
      <patternFill patternType="solid">
        <fgColor rgb="FF0A1421"/>
        <bgColor rgb="FF000000"/>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9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A1421"/>
          <bgColor rgb="FF000000"/>
        </patternFill>
      </fill>
    </dxf>
    <dxf>
      <fill>
        <patternFill patternType="solid">
          <bgColor rgb="FF000000"/>
        </patternFill>
      </fill>
    </dxf>
    <dxf>
      <fill>
        <patternFill patternType="solid">
          <fgColor rgb="FFF0A01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0A01E"/>
      <rgbColor rgb="FFFF6600"/>
      <rgbColor rgb="FF666699"/>
      <rgbColor rgb="FF969696"/>
      <rgbColor rgb="FF003366"/>
      <rgbColor rgb="FF339966"/>
      <rgbColor rgb="FF0A142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Cobertura" displayName="Cobertura" ref="A1:K49" headerRowCount="1" totalsRowCount="0" totalsRowShown="0">
  <autoFilter ref="A1:K49"/>
  <tableColumns count="11">
    <tableColumn id="1" name="Sigla"/>
    <tableColumn id="2" name="Servicios"/>
    <tableColumn id="3" name="Hoy"/>
    <tableColumn id="4" name="Corto plazo"/>
    <tableColumn id="5" name="Desarrollo mayor"/>
    <tableColumn id="6" name="No aplica"/>
    <tableColumn id="7" name="Cubrible hoy + corto"/>
    <tableColumn id="8" name="% cubrible"/>
    <tableColumn id="9" name="Vacancias digitales"/>
    <tableColumn id="10" name="Vacancias cubribles a corto plazo"/>
    <tableColumn id="11" name="% vacancias cubribles"/>
  </tableColumns>
</table>
</file>

<file path=xl/tables/table2.xml><?xml version="1.0" encoding="utf-8"?>
<table xmlns="http://schemas.openxmlformats.org/spreadsheetml/2006/main" id="2" name="Propuestas" displayName="Propuestas" ref="A1:M35" headerRowCount="1" totalsRowCount="0" totalsRowShown="0">
  <autoFilter ref="A1:M35"/>
  <tableColumns count="13">
    <tableColumn id="1" name="ID"/>
    <tableColumn id="2" name="Título"/>
    <tableColumn id="3" name="Tipo"/>
    <tableColumn id="4" name="Módulo Colm3na"/>
    <tableColumn id="5" name="Sindicatos fuente"/>
    <tableColumn id="6" name="Idea original observada"/>
    <tableColumn id="7" name="Funcionalidad propuesta en Colm3na"/>
    <tableColumn id="8" name="Resumen (4 líneas)"/>
    <tableColumn id="9" name="Impacto (1-5)"/>
    <tableColumn id="10" name="Esfuerzo (1-5)"/>
    <tableColumn id="11" name="Prioridad"/>
    <tableColumn id="12" name="Ola"/>
    <tableColumn id="13" name="Evidencia (servicios)"/>
  </tableColumns>
</table>
</file>

<file path=xl/tables/table3.xml><?xml version="1.0" encoding="utf-8"?>
<table xmlns="http://schemas.openxmlformats.org/spreadsheetml/2006/main" id="3" name="Servicios" displayName="Servicios" ref="A1:J716" headerRowCount="1" totalsRowCount="0" totalsRowShown="0">
  <autoFilter ref="A1:J716"/>
  <tableColumns count="10">
    <tableColumn id="1" name="ID"/>
    <tableColumn id="2" name="Sindicato"/>
    <tableColumn id="3" name="Servicio"/>
    <tableColumn id="4" name="Modalidad"/>
    <tableColumn id="5" name="Categoría"/>
    <tableColumn id="6" name="Descripción"/>
    <tableColumn id="7" name="URL fuente"/>
    <tableColumn id="8" name="Propuestas Colm3na"/>
    <tableColumn id="9" name="Cobertura Colm3na"/>
    <tableColumn id="10" name="Cómo lo cubre"/>
  </tableColumns>
</table>
</file>

<file path=xl/tables/table4.xml><?xml version="1.0" encoding="utf-8"?>
<table xmlns="http://schemas.openxmlformats.org/spreadsheetml/2006/main" id="4" name="Sindicatos" displayName="Sindicatos" ref="A1:N48" headerRowCount="1" totalsRowCount="0" totalsRowShown="0">
  <autoFilter ref="A1:N48"/>
  <tableColumns count="14">
    <tableColumn id="1" name="Sigla"/>
    <tableColumn id="2" name="Sindicato"/>
    <tableColumn id="3" name="Rubro"/>
    <tableColumn id="4" name="Alcance"/>
    <tableColumn id="5" name="URL"/>
    <tableColumn id="6" name="Calidad web (1-5)"/>
    <tableColumn id="7" name="App / portal detectado"/>
    <tableColumn id="8" name="Mutual / instituto"/>
    <tableColumn id="9" name="Cant. servicios"/>
    <tableColumn id="10" name="Online"/>
    <tableColumn id="11" name="Semi-online"/>
    <tableColumn id="12" name="Presencial"/>
    <tableColumn id="13" name="Observaciones"/>
    <tableColumn id="14" name="Páginas leída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2" t="s">
        <v>8</v>
      </c>
    </row>
    <row r="12" customFormat="false" ht="23.85" hidden="false" customHeight="false" outlineLevel="0" collapsed="false">
      <c r="A12"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
    <col collapsed="false" customWidth="true" hidden="false" outlineLevel="0" max="4" min="4" style="0" width="26"/>
    <col collapsed="false" customWidth="true" hidden="false" outlineLevel="0" max="5" min="5" style="0" width="24"/>
    <col collapsed="false" customWidth="true" hidden="false" outlineLevel="0" max="8" min="6" style="0" width="60"/>
    <col collapsed="false" customWidth="true" hidden="false" outlineLevel="0" max="11" min="9" style="0" width="9"/>
    <col collapsed="false" customWidth="true" hidden="false" outlineLevel="0" max="12" min="12" style="0" width="6"/>
    <col collapsed="false" customWidth="true" hidden="false" outlineLevel="0" max="13" min="13" style="0" width="40"/>
  </cols>
  <sheetData>
    <row r="1" customFormat="false" ht="35.05" hidden="false" customHeight="false" outlineLevel="0" collapsed="false">
      <c r="A1" s="4" t="s">
        <v>10</v>
      </c>
      <c r="B1" s="4" t="s">
        <v>11</v>
      </c>
      <c r="C1" s="4" t="s">
        <v>12</v>
      </c>
      <c r="D1" s="4" t="s">
        <v>13</v>
      </c>
      <c r="E1" s="4" t="s">
        <v>14</v>
      </c>
      <c r="F1" s="4" t="s">
        <v>15</v>
      </c>
      <c r="G1" s="4" t="s">
        <v>16</v>
      </c>
      <c r="H1" s="4" t="s">
        <v>17</v>
      </c>
      <c r="I1" s="4" t="s">
        <v>18</v>
      </c>
      <c r="J1" s="4" t="s">
        <v>19</v>
      </c>
      <c r="K1" s="4" t="s">
        <v>20</v>
      </c>
      <c r="L1" s="4" t="s">
        <v>21</v>
      </c>
      <c r="M1" s="4" t="s">
        <v>22</v>
      </c>
    </row>
    <row r="2" customFormat="false" ht="189.75" hidden="false" customHeight="true" outlineLevel="0" collapsed="false">
      <c r="A2" s="5" t="s">
        <v>23</v>
      </c>
      <c r="B2" s="5" t="s">
        <v>24</v>
      </c>
      <c r="C2" s="5" t="s">
        <v>25</v>
      </c>
      <c r="D2" s="5" t="s">
        <v>26</v>
      </c>
      <c r="E2" s="5" t="s">
        <v>27</v>
      </c>
      <c r="F2" s="5" t="s">
        <v>28</v>
      </c>
      <c r="G2" s="5" t="s">
        <v>29</v>
      </c>
      <c r="H2" s="5" t="s">
        <v>30</v>
      </c>
      <c r="I2" s="5" t="n">
        <v>5</v>
      </c>
      <c r="J2" s="5" t="n">
        <v>2</v>
      </c>
      <c r="K2" s="5" t="n">
        <f aca="false">I2*2-J2</f>
        <v>8</v>
      </c>
      <c r="L2" s="5" t="n">
        <v>1</v>
      </c>
      <c r="M2" s="5" t="s">
        <v>31</v>
      </c>
    </row>
    <row r="3" customFormat="false" ht="189.75" hidden="false" customHeight="true" outlineLevel="0" collapsed="false">
      <c r="A3" s="5" t="s">
        <v>32</v>
      </c>
      <c r="B3" s="5" t="s">
        <v>33</v>
      </c>
      <c r="C3" s="5" t="s">
        <v>34</v>
      </c>
      <c r="D3" s="5" t="s">
        <v>35</v>
      </c>
      <c r="E3" s="5" t="s">
        <v>36</v>
      </c>
      <c r="F3" s="5" t="s">
        <v>37</v>
      </c>
      <c r="G3" s="5" t="s">
        <v>38</v>
      </c>
      <c r="H3" s="5" t="s">
        <v>39</v>
      </c>
      <c r="I3" s="5" t="n">
        <v>4</v>
      </c>
      <c r="J3" s="5" t="n">
        <v>2</v>
      </c>
      <c r="K3" s="5" t="n">
        <f aca="false">I3*2-J3</f>
        <v>6</v>
      </c>
      <c r="L3" s="5" t="n">
        <v>1</v>
      </c>
      <c r="M3" s="5" t="s">
        <v>40</v>
      </c>
    </row>
    <row r="4" customFormat="false" ht="189.75" hidden="false" customHeight="true" outlineLevel="0" collapsed="false">
      <c r="A4" s="5" t="s">
        <v>41</v>
      </c>
      <c r="B4" s="5" t="s">
        <v>42</v>
      </c>
      <c r="C4" s="5" t="s">
        <v>25</v>
      </c>
      <c r="D4" s="5" t="s">
        <v>43</v>
      </c>
      <c r="E4" s="5" t="s">
        <v>44</v>
      </c>
      <c r="F4" s="5" t="s">
        <v>45</v>
      </c>
      <c r="G4" s="5" t="s">
        <v>46</v>
      </c>
      <c r="H4" s="5" t="s">
        <v>47</v>
      </c>
      <c r="I4" s="5" t="n">
        <v>4</v>
      </c>
      <c r="J4" s="5" t="n">
        <v>2</v>
      </c>
      <c r="K4" s="5" t="n">
        <f aca="false">I4*2-J4</f>
        <v>6</v>
      </c>
      <c r="L4" s="5" t="n">
        <v>1</v>
      </c>
      <c r="M4" s="5" t="s">
        <v>48</v>
      </c>
    </row>
    <row r="5" customFormat="false" ht="189.75" hidden="false" customHeight="true" outlineLevel="0" collapsed="false">
      <c r="A5" s="5" t="s">
        <v>49</v>
      </c>
      <c r="B5" s="5" t="s">
        <v>50</v>
      </c>
      <c r="C5" s="5" t="s">
        <v>34</v>
      </c>
      <c r="D5" s="5" t="s">
        <v>51</v>
      </c>
      <c r="E5" s="5" t="s">
        <v>52</v>
      </c>
      <c r="F5" s="5" t="s">
        <v>53</v>
      </c>
      <c r="G5" s="5" t="s">
        <v>54</v>
      </c>
      <c r="H5" s="5" t="s">
        <v>55</v>
      </c>
      <c r="I5" s="5" t="n">
        <v>5</v>
      </c>
      <c r="J5" s="5" t="n">
        <v>3</v>
      </c>
      <c r="K5" s="5" t="n">
        <f aca="false">I5*2-J5</f>
        <v>7</v>
      </c>
      <c r="L5" s="5" t="n">
        <v>1</v>
      </c>
      <c r="M5" s="5" t="s">
        <v>56</v>
      </c>
    </row>
    <row r="6" customFormat="false" ht="189.75" hidden="false" customHeight="true" outlineLevel="0" collapsed="false">
      <c r="A6" s="5" t="s">
        <v>57</v>
      </c>
      <c r="B6" s="5" t="s">
        <v>58</v>
      </c>
      <c r="C6" s="5" t="s">
        <v>59</v>
      </c>
      <c r="D6" s="5" t="s">
        <v>60</v>
      </c>
      <c r="E6" s="5" t="s">
        <v>61</v>
      </c>
      <c r="F6" s="5" t="s">
        <v>62</v>
      </c>
      <c r="G6" s="5" t="s">
        <v>63</v>
      </c>
      <c r="H6" s="5" t="s">
        <v>64</v>
      </c>
      <c r="I6" s="5" t="n">
        <v>4</v>
      </c>
      <c r="J6" s="5" t="n">
        <v>2</v>
      </c>
      <c r="K6" s="5" t="n">
        <f aca="false">I6*2-J6</f>
        <v>6</v>
      </c>
      <c r="L6" s="5" t="n">
        <v>1</v>
      </c>
      <c r="M6" s="5" t="s">
        <v>65</v>
      </c>
    </row>
    <row r="7" customFormat="false" ht="189.75" hidden="false" customHeight="true" outlineLevel="0" collapsed="false">
      <c r="A7" s="5" t="s">
        <v>66</v>
      </c>
      <c r="B7" s="5" t="s">
        <v>67</v>
      </c>
      <c r="C7" s="5" t="s">
        <v>25</v>
      </c>
      <c r="D7" s="5" t="s">
        <v>68</v>
      </c>
      <c r="E7" s="5" t="s">
        <v>69</v>
      </c>
      <c r="F7" s="5" t="s">
        <v>70</v>
      </c>
      <c r="G7" s="5" t="s">
        <v>71</v>
      </c>
      <c r="H7" s="5" t="s">
        <v>72</v>
      </c>
      <c r="I7" s="5" t="n">
        <v>5</v>
      </c>
      <c r="J7" s="5" t="n">
        <v>3</v>
      </c>
      <c r="K7" s="5" t="n">
        <f aca="false">I7*2-J7</f>
        <v>7</v>
      </c>
      <c r="L7" s="5" t="n">
        <v>2</v>
      </c>
      <c r="M7" s="5" t="s">
        <v>73</v>
      </c>
    </row>
    <row r="8" customFormat="false" ht="189.75" hidden="false" customHeight="true" outlineLevel="0" collapsed="false">
      <c r="A8" s="5" t="s">
        <v>74</v>
      </c>
      <c r="B8" s="5" t="s">
        <v>75</v>
      </c>
      <c r="C8" s="5" t="s">
        <v>25</v>
      </c>
      <c r="D8" s="5" t="s">
        <v>76</v>
      </c>
      <c r="E8" s="5" t="s">
        <v>77</v>
      </c>
      <c r="F8" s="5" t="s">
        <v>78</v>
      </c>
      <c r="G8" s="5" t="s">
        <v>79</v>
      </c>
      <c r="H8" s="5" t="s">
        <v>80</v>
      </c>
      <c r="I8" s="5" t="n">
        <v>3</v>
      </c>
      <c r="J8" s="5" t="n">
        <v>2</v>
      </c>
      <c r="K8" s="5" t="n">
        <f aca="false">I8*2-J8</f>
        <v>4</v>
      </c>
      <c r="L8" s="5" t="n">
        <v>2</v>
      </c>
      <c r="M8" s="5" t="s">
        <v>81</v>
      </c>
    </row>
    <row r="9" customFormat="false" ht="189.75" hidden="false" customHeight="true" outlineLevel="0" collapsed="false">
      <c r="A9" s="5" t="s">
        <v>82</v>
      </c>
      <c r="B9" s="5" t="s">
        <v>83</v>
      </c>
      <c r="C9" s="5" t="s">
        <v>25</v>
      </c>
      <c r="D9" s="5" t="s">
        <v>84</v>
      </c>
      <c r="E9" s="5" t="s">
        <v>85</v>
      </c>
      <c r="F9" s="5" t="s">
        <v>86</v>
      </c>
      <c r="G9" s="5" t="s">
        <v>87</v>
      </c>
      <c r="H9" s="5" t="s">
        <v>88</v>
      </c>
      <c r="I9" s="5" t="n">
        <v>5</v>
      </c>
      <c r="J9" s="5" t="n">
        <v>3</v>
      </c>
      <c r="K9" s="5" t="n">
        <f aca="false">I9*2-J9</f>
        <v>7</v>
      </c>
      <c r="L9" s="5" t="n">
        <v>1</v>
      </c>
      <c r="M9" s="5" t="s">
        <v>89</v>
      </c>
    </row>
    <row r="10" customFormat="false" ht="189.75" hidden="false" customHeight="true" outlineLevel="0" collapsed="false">
      <c r="A10" s="5" t="s">
        <v>90</v>
      </c>
      <c r="B10" s="5" t="s">
        <v>91</v>
      </c>
      <c r="C10" s="5" t="s">
        <v>59</v>
      </c>
      <c r="D10" s="5" t="s">
        <v>92</v>
      </c>
      <c r="E10" s="5" t="s">
        <v>93</v>
      </c>
      <c r="F10" s="5" t="s">
        <v>94</v>
      </c>
      <c r="G10" s="5" t="s">
        <v>95</v>
      </c>
      <c r="H10" s="5" t="s">
        <v>96</v>
      </c>
      <c r="I10" s="5" t="n">
        <v>3</v>
      </c>
      <c r="J10" s="5" t="n">
        <v>1</v>
      </c>
      <c r="K10" s="5" t="n">
        <f aca="false">I10*2-J10</f>
        <v>5</v>
      </c>
      <c r="L10" s="5" t="n">
        <v>1</v>
      </c>
      <c r="M10" s="5" t="s">
        <v>97</v>
      </c>
    </row>
    <row r="11" customFormat="false" ht="189.75" hidden="false" customHeight="true" outlineLevel="0" collapsed="false">
      <c r="A11" s="5" t="s">
        <v>98</v>
      </c>
      <c r="B11" s="5" t="s">
        <v>99</v>
      </c>
      <c r="C11" s="5" t="s">
        <v>25</v>
      </c>
      <c r="D11" s="5" t="s">
        <v>100</v>
      </c>
      <c r="E11" s="5" t="s">
        <v>101</v>
      </c>
      <c r="F11" s="5" t="s">
        <v>102</v>
      </c>
      <c r="G11" s="5" t="s">
        <v>103</v>
      </c>
      <c r="H11" s="5" t="s">
        <v>104</v>
      </c>
      <c r="I11" s="5" t="n">
        <v>5</v>
      </c>
      <c r="J11" s="5" t="n">
        <v>2</v>
      </c>
      <c r="K11" s="5" t="n">
        <f aca="false">I11*2-J11</f>
        <v>8</v>
      </c>
      <c r="L11" s="5" t="n">
        <v>1</v>
      </c>
      <c r="M11" s="5" t="s">
        <v>105</v>
      </c>
    </row>
    <row r="12" customFormat="false" ht="189.75" hidden="false" customHeight="true" outlineLevel="0" collapsed="false">
      <c r="A12" s="5" t="s">
        <v>106</v>
      </c>
      <c r="B12" s="5" t="s">
        <v>107</v>
      </c>
      <c r="C12" s="5" t="s">
        <v>34</v>
      </c>
      <c r="D12" s="5" t="s">
        <v>108</v>
      </c>
      <c r="E12" s="5" t="s">
        <v>109</v>
      </c>
      <c r="F12" s="5" t="s">
        <v>110</v>
      </c>
      <c r="G12" s="5" t="s">
        <v>111</v>
      </c>
      <c r="H12" s="5" t="s">
        <v>112</v>
      </c>
      <c r="I12" s="5" t="n">
        <v>4</v>
      </c>
      <c r="J12" s="5" t="n">
        <v>3</v>
      </c>
      <c r="K12" s="5" t="n">
        <f aca="false">I12*2-J12</f>
        <v>5</v>
      </c>
      <c r="L12" s="5" t="n">
        <v>2</v>
      </c>
      <c r="M12" s="5" t="s">
        <v>113</v>
      </c>
    </row>
    <row r="13" customFormat="false" ht="189.75" hidden="false" customHeight="true" outlineLevel="0" collapsed="false">
      <c r="A13" s="5" t="s">
        <v>114</v>
      </c>
      <c r="B13" s="5" t="s">
        <v>115</v>
      </c>
      <c r="C13" s="5" t="s">
        <v>34</v>
      </c>
      <c r="D13" s="5" t="s">
        <v>116</v>
      </c>
      <c r="E13" s="5" t="s">
        <v>117</v>
      </c>
      <c r="F13" s="5" t="s">
        <v>118</v>
      </c>
      <c r="G13" s="5" t="s">
        <v>119</v>
      </c>
      <c r="H13" s="5" t="s">
        <v>120</v>
      </c>
      <c r="I13" s="5" t="n">
        <v>4</v>
      </c>
      <c r="J13" s="5" t="n">
        <v>3</v>
      </c>
      <c r="K13" s="5" t="n">
        <f aca="false">I13*2-J13</f>
        <v>5</v>
      </c>
      <c r="L13" s="5" t="n">
        <v>2</v>
      </c>
      <c r="M13" s="5" t="s">
        <v>121</v>
      </c>
    </row>
    <row r="14" customFormat="false" ht="189.75" hidden="false" customHeight="true" outlineLevel="0" collapsed="false">
      <c r="A14" s="5" t="s">
        <v>122</v>
      </c>
      <c r="B14" s="5" t="s">
        <v>123</v>
      </c>
      <c r="C14" s="5" t="s">
        <v>25</v>
      </c>
      <c r="D14" s="5" t="s">
        <v>124</v>
      </c>
      <c r="E14" s="5" t="s">
        <v>125</v>
      </c>
      <c r="F14" s="5" t="s">
        <v>126</v>
      </c>
      <c r="G14" s="5" t="s">
        <v>127</v>
      </c>
      <c r="H14" s="5" t="s">
        <v>128</v>
      </c>
      <c r="I14" s="5" t="n">
        <v>4</v>
      </c>
      <c r="J14" s="5" t="n">
        <v>3</v>
      </c>
      <c r="K14" s="5" t="n">
        <f aca="false">I14*2-J14</f>
        <v>5</v>
      </c>
      <c r="L14" s="5" t="n">
        <v>2</v>
      </c>
      <c r="M14" s="5" t="s">
        <v>129</v>
      </c>
    </row>
    <row r="15" customFormat="false" ht="189.75" hidden="false" customHeight="true" outlineLevel="0" collapsed="false">
      <c r="A15" s="5" t="s">
        <v>130</v>
      </c>
      <c r="B15" s="5" t="s">
        <v>131</v>
      </c>
      <c r="C15" s="5" t="s">
        <v>25</v>
      </c>
      <c r="D15" s="5" t="s">
        <v>132</v>
      </c>
      <c r="E15" s="5" t="s">
        <v>133</v>
      </c>
      <c r="F15" s="5" t="s">
        <v>134</v>
      </c>
      <c r="G15" s="5" t="s">
        <v>135</v>
      </c>
      <c r="H15" s="5" t="s">
        <v>136</v>
      </c>
      <c r="I15" s="5" t="n">
        <v>4</v>
      </c>
      <c r="J15" s="5" t="n">
        <v>2</v>
      </c>
      <c r="K15" s="5" t="n">
        <f aca="false">I15*2-J15</f>
        <v>6</v>
      </c>
      <c r="L15" s="5" t="n">
        <v>1</v>
      </c>
      <c r="M15" s="5" t="s">
        <v>137</v>
      </c>
    </row>
    <row r="16" customFormat="false" ht="189.75" hidden="false" customHeight="true" outlineLevel="0" collapsed="false">
      <c r="A16" s="5" t="s">
        <v>138</v>
      </c>
      <c r="B16" s="5" t="s">
        <v>139</v>
      </c>
      <c r="C16" s="5" t="s">
        <v>34</v>
      </c>
      <c r="D16" s="5" t="s">
        <v>140</v>
      </c>
      <c r="E16" s="5" t="s">
        <v>141</v>
      </c>
      <c r="F16" s="5" t="s">
        <v>142</v>
      </c>
      <c r="G16" s="5" t="s">
        <v>143</v>
      </c>
      <c r="H16" s="5" t="s">
        <v>144</v>
      </c>
      <c r="I16" s="5" t="n">
        <v>5</v>
      </c>
      <c r="J16" s="5" t="n">
        <v>3</v>
      </c>
      <c r="K16" s="5" t="n">
        <f aca="false">I16*2-J16</f>
        <v>7</v>
      </c>
      <c r="L16" s="5" t="n">
        <v>2</v>
      </c>
      <c r="M16" s="5" t="s">
        <v>145</v>
      </c>
    </row>
    <row r="17" customFormat="false" ht="189.75" hidden="false" customHeight="true" outlineLevel="0" collapsed="false">
      <c r="A17" s="5" t="s">
        <v>146</v>
      </c>
      <c r="B17" s="5" t="s">
        <v>147</v>
      </c>
      <c r="C17" s="5" t="s">
        <v>59</v>
      </c>
      <c r="D17" s="5" t="s">
        <v>148</v>
      </c>
      <c r="E17" s="5" t="s">
        <v>149</v>
      </c>
      <c r="F17" s="5" t="s">
        <v>150</v>
      </c>
      <c r="G17" s="5" t="s">
        <v>151</v>
      </c>
      <c r="H17" s="5" t="s">
        <v>152</v>
      </c>
      <c r="I17" s="5" t="n">
        <v>3</v>
      </c>
      <c r="J17" s="5" t="n">
        <v>1</v>
      </c>
      <c r="K17" s="5" t="n">
        <f aca="false">I17*2-J17</f>
        <v>5</v>
      </c>
      <c r="L17" s="5" t="n">
        <v>1</v>
      </c>
      <c r="M17" s="5" t="s">
        <v>153</v>
      </c>
    </row>
    <row r="18" customFormat="false" ht="189.75" hidden="false" customHeight="true" outlineLevel="0" collapsed="false">
      <c r="A18" s="5" t="s">
        <v>154</v>
      </c>
      <c r="B18" s="5" t="s">
        <v>155</v>
      </c>
      <c r="C18" s="5" t="s">
        <v>25</v>
      </c>
      <c r="D18" s="5" t="s">
        <v>156</v>
      </c>
      <c r="E18" s="5" t="s">
        <v>157</v>
      </c>
      <c r="F18" s="5" t="s">
        <v>158</v>
      </c>
      <c r="G18" s="5" t="s">
        <v>159</v>
      </c>
      <c r="H18" s="5" t="s">
        <v>160</v>
      </c>
      <c r="I18" s="5" t="n">
        <v>4</v>
      </c>
      <c r="J18" s="5" t="n">
        <v>3</v>
      </c>
      <c r="K18" s="5" t="n">
        <f aca="false">I18*2-J18</f>
        <v>5</v>
      </c>
      <c r="L18" s="5" t="n">
        <v>2</v>
      </c>
      <c r="M18" s="5" t="s">
        <v>161</v>
      </c>
    </row>
    <row r="19" customFormat="false" ht="189.75" hidden="false" customHeight="true" outlineLevel="0" collapsed="false">
      <c r="A19" s="5" t="s">
        <v>162</v>
      </c>
      <c r="B19" s="5" t="s">
        <v>163</v>
      </c>
      <c r="C19" s="5" t="s">
        <v>59</v>
      </c>
      <c r="D19" s="5" t="s">
        <v>164</v>
      </c>
      <c r="E19" s="5" t="s">
        <v>165</v>
      </c>
      <c r="F19" s="5" t="s">
        <v>166</v>
      </c>
      <c r="G19" s="5" t="s">
        <v>167</v>
      </c>
      <c r="H19" s="5" t="s">
        <v>168</v>
      </c>
      <c r="I19" s="5" t="n">
        <v>2</v>
      </c>
      <c r="J19" s="5" t="n">
        <v>1</v>
      </c>
      <c r="K19" s="5" t="n">
        <f aca="false">I19*2-J19</f>
        <v>3</v>
      </c>
      <c r="L19" s="5" t="n">
        <v>1</v>
      </c>
      <c r="M19" s="5" t="s">
        <v>169</v>
      </c>
    </row>
    <row r="20" customFormat="false" ht="189.75" hidden="false" customHeight="true" outlineLevel="0" collapsed="false">
      <c r="A20" s="5" t="s">
        <v>170</v>
      </c>
      <c r="B20" s="5" t="s">
        <v>171</v>
      </c>
      <c r="C20" s="5" t="s">
        <v>59</v>
      </c>
      <c r="D20" s="5" t="s">
        <v>172</v>
      </c>
      <c r="E20" s="5" t="s">
        <v>173</v>
      </c>
      <c r="F20" s="5" t="s">
        <v>174</v>
      </c>
      <c r="G20" s="5" t="s">
        <v>175</v>
      </c>
      <c r="H20" s="5" t="s">
        <v>176</v>
      </c>
      <c r="I20" s="5" t="n">
        <v>4</v>
      </c>
      <c r="J20" s="5" t="n">
        <v>2</v>
      </c>
      <c r="K20" s="5" t="n">
        <f aca="false">I20*2-J20</f>
        <v>6</v>
      </c>
      <c r="L20" s="5" t="n">
        <v>1</v>
      </c>
      <c r="M20" s="5" t="s">
        <v>177</v>
      </c>
    </row>
    <row r="21" customFormat="false" ht="189.75" hidden="false" customHeight="true" outlineLevel="0" collapsed="false">
      <c r="A21" s="5" t="s">
        <v>178</v>
      </c>
      <c r="B21" s="5" t="s">
        <v>179</v>
      </c>
      <c r="C21" s="5" t="s">
        <v>25</v>
      </c>
      <c r="D21" s="5" t="s">
        <v>180</v>
      </c>
      <c r="E21" s="5" t="s">
        <v>181</v>
      </c>
      <c r="F21" s="5" t="s">
        <v>182</v>
      </c>
      <c r="G21" s="5" t="s">
        <v>183</v>
      </c>
      <c r="H21" s="5" t="s">
        <v>184</v>
      </c>
      <c r="I21" s="5" t="n">
        <v>5</v>
      </c>
      <c r="J21" s="5" t="n">
        <v>2</v>
      </c>
      <c r="K21" s="5" t="n">
        <f aca="false">I21*2-J21</f>
        <v>8</v>
      </c>
      <c r="L21" s="5" t="n">
        <v>1</v>
      </c>
      <c r="M21" s="5" t="s">
        <v>185</v>
      </c>
    </row>
    <row r="22" customFormat="false" ht="189.75" hidden="false" customHeight="true" outlineLevel="0" collapsed="false">
      <c r="A22" s="5" t="s">
        <v>186</v>
      </c>
      <c r="B22" s="5" t="s">
        <v>187</v>
      </c>
      <c r="C22" s="5" t="s">
        <v>34</v>
      </c>
      <c r="D22" s="5" t="s">
        <v>188</v>
      </c>
      <c r="E22" s="5" t="s">
        <v>189</v>
      </c>
      <c r="F22" s="5" t="s">
        <v>190</v>
      </c>
      <c r="G22" s="5" t="s">
        <v>191</v>
      </c>
      <c r="H22" s="5" t="s">
        <v>192</v>
      </c>
      <c r="I22" s="5" t="n">
        <v>4</v>
      </c>
      <c r="J22" s="5" t="n">
        <v>3</v>
      </c>
      <c r="K22" s="5" t="n">
        <f aca="false">I22*2-J22</f>
        <v>5</v>
      </c>
      <c r="L22" s="5" t="n">
        <v>2</v>
      </c>
      <c r="M22" s="5" t="s">
        <v>193</v>
      </c>
    </row>
    <row r="23" customFormat="false" ht="189.75" hidden="false" customHeight="true" outlineLevel="0" collapsed="false">
      <c r="A23" s="5" t="s">
        <v>194</v>
      </c>
      <c r="B23" s="5" t="s">
        <v>195</v>
      </c>
      <c r="C23" s="5" t="s">
        <v>25</v>
      </c>
      <c r="D23" s="5" t="s">
        <v>196</v>
      </c>
      <c r="E23" s="5" t="s">
        <v>197</v>
      </c>
      <c r="F23" s="5" t="s">
        <v>198</v>
      </c>
      <c r="G23" s="5" t="s">
        <v>199</v>
      </c>
      <c r="H23" s="5" t="s">
        <v>200</v>
      </c>
      <c r="I23" s="5" t="n">
        <v>4</v>
      </c>
      <c r="J23" s="5" t="n">
        <v>2</v>
      </c>
      <c r="K23" s="5" t="n">
        <f aca="false">I23*2-J23</f>
        <v>6</v>
      </c>
      <c r="L23" s="5" t="n">
        <v>2</v>
      </c>
      <c r="M23" s="5" t="s">
        <v>201</v>
      </c>
    </row>
    <row r="24" customFormat="false" ht="189.75" hidden="false" customHeight="true" outlineLevel="0" collapsed="false">
      <c r="A24" s="5" t="s">
        <v>202</v>
      </c>
      <c r="B24" s="5" t="s">
        <v>203</v>
      </c>
      <c r="C24" s="5" t="s">
        <v>34</v>
      </c>
      <c r="D24" s="5" t="s">
        <v>204</v>
      </c>
      <c r="E24" s="5" t="s">
        <v>205</v>
      </c>
      <c r="F24" s="5" t="s">
        <v>206</v>
      </c>
      <c r="G24" s="5" t="s">
        <v>207</v>
      </c>
      <c r="H24" s="5" t="s">
        <v>208</v>
      </c>
      <c r="I24" s="5" t="n">
        <v>3</v>
      </c>
      <c r="J24" s="5" t="n">
        <v>2</v>
      </c>
      <c r="K24" s="5" t="n">
        <f aca="false">I24*2-J24</f>
        <v>4</v>
      </c>
      <c r="L24" s="5" t="n">
        <v>2</v>
      </c>
      <c r="M24" s="5" t="s">
        <v>209</v>
      </c>
    </row>
    <row r="25" customFormat="false" ht="189.75" hidden="false" customHeight="true" outlineLevel="0" collapsed="false">
      <c r="A25" s="5" t="s">
        <v>210</v>
      </c>
      <c r="B25" s="5" t="s">
        <v>211</v>
      </c>
      <c r="C25" s="5" t="s">
        <v>59</v>
      </c>
      <c r="D25" s="5" t="s">
        <v>212</v>
      </c>
      <c r="E25" s="5" t="s">
        <v>213</v>
      </c>
      <c r="F25" s="5" t="s">
        <v>214</v>
      </c>
      <c r="G25" s="5" t="s">
        <v>215</v>
      </c>
      <c r="H25" s="5" t="s">
        <v>216</v>
      </c>
      <c r="I25" s="5" t="n">
        <v>3</v>
      </c>
      <c r="J25" s="5" t="n">
        <v>2</v>
      </c>
      <c r="K25" s="5" t="n">
        <f aca="false">I25*2-J25</f>
        <v>4</v>
      </c>
      <c r="L25" s="5" t="n">
        <v>2</v>
      </c>
      <c r="M25" s="5" t="s">
        <v>217</v>
      </c>
    </row>
    <row r="26" customFormat="false" ht="189.75" hidden="false" customHeight="true" outlineLevel="0" collapsed="false">
      <c r="A26" s="5" t="s">
        <v>218</v>
      </c>
      <c r="B26" s="5" t="s">
        <v>219</v>
      </c>
      <c r="C26" s="5" t="s">
        <v>25</v>
      </c>
      <c r="D26" s="5" t="s">
        <v>220</v>
      </c>
      <c r="E26" s="5" t="s">
        <v>221</v>
      </c>
      <c r="F26" s="5" t="s">
        <v>222</v>
      </c>
      <c r="G26" s="5" t="s">
        <v>223</v>
      </c>
      <c r="H26" s="5" t="s">
        <v>224</v>
      </c>
      <c r="I26" s="5" t="n">
        <v>3</v>
      </c>
      <c r="J26" s="5" t="n">
        <v>2</v>
      </c>
      <c r="K26" s="5" t="n">
        <f aca="false">I26*2-J26</f>
        <v>4</v>
      </c>
      <c r="L26" s="5" t="n">
        <v>2</v>
      </c>
      <c r="M26" s="5" t="s">
        <v>225</v>
      </c>
    </row>
    <row r="27" customFormat="false" ht="189.75" hidden="false" customHeight="true" outlineLevel="0" collapsed="false">
      <c r="A27" s="5" t="s">
        <v>226</v>
      </c>
      <c r="B27" s="5" t="s">
        <v>227</v>
      </c>
      <c r="C27" s="5" t="s">
        <v>34</v>
      </c>
      <c r="D27" s="5" t="s">
        <v>228</v>
      </c>
      <c r="E27" s="5" t="s">
        <v>229</v>
      </c>
      <c r="F27" s="5" t="s">
        <v>230</v>
      </c>
      <c r="G27" s="5" t="s">
        <v>231</v>
      </c>
      <c r="H27" s="5" t="s">
        <v>232</v>
      </c>
      <c r="I27" s="5" t="n">
        <v>4</v>
      </c>
      <c r="J27" s="5" t="n">
        <v>4</v>
      </c>
      <c r="K27" s="5" t="n">
        <f aca="false">I27*2-J27</f>
        <v>4</v>
      </c>
      <c r="L27" s="5" t="n">
        <v>3</v>
      </c>
      <c r="M27" s="5" t="s">
        <v>233</v>
      </c>
    </row>
    <row r="28" customFormat="false" ht="189.75" hidden="false" customHeight="true" outlineLevel="0" collapsed="false">
      <c r="A28" s="5" t="s">
        <v>234</v>
      </c>
      <c r="B28" s="5" t="s">
        <v>235</v>
      </c>
      <c r="C28" s="5" t="s">
        <v>59</v>
      </c>
      <c r="D28" s="5" t="s">
        <v>236</v>
      </c>
      <c r="E28" s="5" t="s">
        <v>237</v>
      </c>
      <c r="F28" s="5" t="s">
        <v>238</v>
      </c>
      <c r="G28" s="5" t="s">
        <v>239</v>
      </c>
      <c r="H28" s="5" t="s">
        <v>240</v>
      </c>
      <c r="I28" s="5" t="n">
        <v>3</v>
      </c>
      <c r="J28" s="5" t="n">
        <v>2</v>
      </c>
      <c r="K28" s="5" t="n">
        <f aca="false">I28*2-J28</f>
        <v>4</v>
      </c>
      <c r="L28" s="5" t="n">
        <v>2</v>
      </c>
      <c r="M28" s="5" t="s">
        <v>241</v>
      </c>
    </row>
    <row r="29" customFormat="false" ht="189.75" hidden="false" customHeight="true" outlineLevel="0" collapsed="false">
      <c r="A29" s="5" t="s">
        <v>242</v>
      </c>
      <c r="B29" s="5" t="s">
        <v>243</v>
      </c>
      <c r="C29" s="5" t="s">
        <v>59</v>
      </c>
      <c r="D29" s="5" t="s">
        <v>244</v>
      </c>
      <c r="E29" s="5" t="s">
        <v>245</v>
      </c>
      <c r="F29" s="5" t="s">
        <v>246</v>
      </c>
      <c r="G29" s="5" t="s">
        <v>247</v>
      </c>
      <c r="H29" s="5" t="s">
        <v>248</v>
      </c>
      <c r="I29" s="5" t="n">
        <v>2</v>
      </c>
      <c r="J29" s="5" t="n">
        <v>1</v>
      </c>
      <c r="K29" s="5" t="n">
        <f aca="false">I29*2-J29</f>
        <v>3</v>
      </c>
      <c r="L29" s="5" t="n">
        <v>1</v>
      </c>
      <c r="M29" s="5" t="s">
        <v>249</v>
      </c>
    </row>
    <row r="30" customFormat="false" ht="189.75" hidden="false" customHeight="true" outlineLevel="0" collapsed="false">
      <c r="A30" s="5" t="s">
        <v>250</v>
      </c>
      <c r="B30" s="5" t="s">
        <v>251</v>
      </c>
      <c r="C30" s="5" t="s">
        <v>59</v>
      </c>
      <c r="D30" s="5" t="s">
        <v>252</v>
      </c>
      <c r="E30" s="5" t="s">
        <v>253</v>
      </c>
      <c r="F30" s="5" t="s">
        <v>254</v>
      </c>
      <c r="G30" s="5" t="s">
        <v>255</v>
      </c>
      <c r="H30" s="5" t="s">
        <v>256</v>
      </c>
      <c r="I30" s="5" t="n">
        <v>3</v>
      </c>
      <c r="J30" s="5" t="n">
        <v>2</v>
      </c>
      <c r="K30" s="5" t="n">
        <f aca="false">I30*2-J30</f>
        <v>4</v>
      </c>
      <c r="L30" s="5" t="n">
        <v>1</v>
      </c>
      <c r="M30" s="5" t="s">
        <v>257</v>
      </c>
    </row>
    <row r="31" customFormat="false" ht="189.75" hidden="false" customHeight="true" outlineLevel="0" collapsed="false">
      <c r="A31" s="5" t="s">
        <v>258</v>
      </c>
      <c r="B31" s="5" t="s">
        <v>259</v>
      </c>
      <c r="C31" s="5" t="s">
        <v>25</v>
      </c>
      <c r="D31" s="5" t="s">
        <v>260</v>
      </c>
      <c r="E31" s="5" t="s">
        <v>261</v>
      </c>
      <c r="F31" s="5" t="s">
        <v>262</v>
      </c>
      <c r="G31" s="5" t="s">
        <v>263</v>
      </c>
      <c r="H31" s="5" t="s">
        <v>264</v>
      </c>
      <c r="I31" s="5" t="n">
        <v>3</v>
      </c>
      <c r="J31" s="5" t="n">
        <v>1</v>
      </c>
      <c r="K31" s="5" t="n">
        <f aca="false">I31*2-J31</f>
        <v>5</v>
      </c>
      <c r="L31" s="5" t="n">
        <v>1</v>
      </c>
      <c r="M31" s="5" t="s">
        <v>265</v>
      </c>
    </row>
    <row r="32" customFormat="false" ht="189.75" hidden="false" customHeight="true" outlineLevel="0" collapsed="false">
      <c r="A32" s="5" t="s">
        <v>266</v>
      </c>
      <c r="B32" s="5" t="s">
        <v>267</v>
      </c>
      <c r="C32" s="5" t="s">
        <v>34</v>
      </c>
      <c r="D32" s="5" t="s">
        <v>268</v>
      </c>
      <c r="E32" s="5" t="s">
        <v>269</v>
      </c>
      <c r="F32" s="5" t="s">
        <v>270</v>
      </c>
      <c r="G32" s="5" t="s">
        <v>271</v>
      </c>
      <c r="H32" s="5" t="s">
        <v>272</v>
      </c>
      <c r="I32" s="5" t="n">
        <v>3</v>
      </c>
      <c r="J32" s="5" t="n">
        <v>2</v>
      </c>
      <c r="K32" s="5" t="n">
        <f aca="false">I32*2-J32</f>
        <v>4</v>
      </c>
      <c r="L32" s="5" t="n">
        <v>2</v>
      </c>
      <c r="M32" s="5" t="s">
        <v>273</v>
      </c>
    </row>
    <row r="33" customFormat="false" ht="189.75" hidden="false" customHeight="true" outlineLevel="0" collapsed="false">
      <c r="A33" s="5" t="s">
        <v>274</v>
      </c>
      <c r="B33" s="5" t="s">
        <v>275</v>
      </c>
      <c r="C33" s="5" t="s">
        <v>34</v>
      </c>
      <c r="D33" s="5" t="s">
        <v>276</v>
      </c>
      <c r="E33" s="5" t="s">
        <v>277</v>
      </c>
      <c r="F33" s="5" t="s">
        <v>278</v>
      </c>
      <c r="G33" s="5" t="s">
        <v>279</v>
      </c>
      <c r="H33" s="5" t="s">
        <v>280</v>
      </c>
      <c r="I33" s="5" t="n">
        <v>4</v>
      </c>
      <c r="J33" s="5" t="n">
        <v>2</v>
      </c>
      <c r="K33" s="5" t="n">
        <f aca="false">I33*2-J33</f>
        <v>6</v>
      </c>
      <c r="L33" s="5" t="n">
        <v>2</v>
      </c>
      <c r="M33" s="5" t="s">
        <v>281</v>
      </c>
    </row>
    <row r="34" customFormat="false" ht="189.75" hidden="false" customHeight="true" outlineLevel="0" collapsed="false">
      <c r="A34" s="5" t="s">
        <v>282</v>
      </c>
      <c r="B34" s="5" t="s">
        <v>283</v>
      </c>
      <c r="C34" s="5" t="s">
        <v>59</v>
      </c>
      <c r="D34" s="5" t="s">
        <v>284</v>
      </c>
      <c r="E34" s="5" t="s">
        <v>285</v>
      </c>
      <c r="F34" s="5" t="s">
        <v>286</v>
      </c>
      <c r="G34" s="5" t="s">
        <v>287</v>
      </c>
      <c r="H34" s="5" t="s">
        <v>288</v>
      </c>
      <c r="I34" s="5" t="n">
        <v>2</v>
      </c>
      <c r="J34" s="5" t="n">
        <v>1</v>
      </c>
      <c r="K34" s="5" t="n">
        <f aca="false">I34*2-J34</f>
        <v>3</v>
      </c>
      <c r="L34" s="5" t="n">
        <v>2</v>
      </c>
      <c r="M34" s="5" t="s">
        <v>289</v>
      </c>
    </row>
    <row r="35" customFormat="false" ht="189.75" hidden="false" customHeight="true" outlineLevel="0" collapsed="false">
      <c r="A35" s="5" t="s">
        <v>290</v>
      </c>
      <c r="B35" s="5" t="s">
        <v>291</v>
      </c>
      <c r="C35" s="5" t="s">
        <v>34</v>
      </c>
      <c r="D35" s="5" t="s">
        <v>292</v>
      </c>
      <c r="E35" s="5" t="s">
        <v>293</v>
      </c>
      <c r="F35" s="5" t="s">
        <v>294</v>
      </c>
      <c r="G35" s="5" t="s">
        <v>295</v>
      </c>
      <c r="H35" s="5" t="s">
        <v>296</v>
      </c>
      <c r="I35" s="5" t="n">
        <v>4</v>
      </c>
      <c r="J35" s="5" t="n">
        <v>4</v>
      </c>
      <c r="K35" s="5" t="n">
        <f aca="false">I35*2-J35</f>
        <v>4</v>
      </c>
      <c r="L35" s="5" t="n">
        <v>3</v>
      </c>
      <c r="M35" s="5"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22"/>
    <col collapsed="false" customWidth="true" hidden="false" outlineLevel="0" max="4" min="4" style="0" width="14"/>
    <col collapsed="false" customWidth="true" hidden="false" outlineLevel="0" max="5" min="5" style="0" width="30"/>
    <col collapsed="false" customWidth="true" hidden="false" outlineLevel="0" max="6" min="6" style="0" width="9"/>
    <col collapsed="false" customWidth="true" hidden="false" outlineLevel="0" max="7" min="7" style="0" width="50"/>
    <col collapsed="false" customWidth="true" hidden="false" outlineLevel="0" max="8" min="8" style="0" width="40"/>
    <col collapsed="false" customWidth="true" hidden="false" outlineLevel="0" max="9" min="9" style="0" width="9"/>
    <col collapsed="false" customWidth="true" hidden="false" outlineLevel="0" max="12" min="10" style="0" width="8"/>
    <col collapsed="false" customWidth="true" hidden="false" outlineLevel="0" max="13" min="13" style="0" width="70"/>
    <col collapsed="false" customWidth="true" hidden="false" outlineLevel="0" max="14" min="14" style="0" width="50"/>
  </cols>
  <sheetData>
    <row r="1" customFormat="false" ht="46.25" hidden="false" customHeight="false" outlineLevel="0" collapsed="false">
      <c r="A1" s="4" t="s">
        <v>298</v>
      </c>
      <c r="B1" s="4" t="s">
        <v>299</v>
      </c>
      <c r="C1" s="4" t="s">
        <v>300</v>
      </c>
      <c r="D1" s="4" t="s">
        <v>301</v>
      </c>
      <c r="E1" s="4" t="s">
        <v>302</v>
      </c>
      <c r="F1" s="4" t="s">
        <v>303</v>
      </c>
      <c r="G1" s="4" t="s">
        <v>304</v>
      </c>
      <c r="H1" s="4" t="s">
        <v>305</v>
      </c>
      <c r="I1" s="4" t="s">
        <v>306</v>
      </c>
      <c r="J1" s="4" t="s">
        <v>307</v>
      </c>
      <c r="K1" s="4" t="s">
        <v>308</v>
      </c>
      <c r="L1" s="4" t="s">
        <v>309</v>
      </c>
      <c r="M1" s="4" t="s">
        <v>310</v>
      </c>
      <c r="N1" s="4" t="s">
        <v>311</v>
      </c>
    </row>
    <row r="2" customFormat="false" ht="150" hidden="false" customHeight="true" outlineLevel="0" collapsed="false">
      <c r="A2" s="5" t="s">
        <v>312</v>
      </c>
      <c r="B2" s="5" t="s">
        <v>313</v>
      </c>
      <c r="C2" s="5" t="s">
        <v>314</v>
      </c>
      <c r="D2" s="5" t="s">
        <v>315</v>
      </c>
      <c r="E2" s="5" t="s">
        <v>316</v>
      </c>
      <c r="F2" s="5" t="n">
        <v>4</v>
      </c>
      <c r="G2" s="5" t="s">
        <v>317</v>
      </c>
      <c r="H2" s="5" t="s">
        <v>318</v>
      </c>
      <c r="I2" s="5" t="n">
        <v>18</v>
      </c>
      <c r="J2" s="5" t="n">
        <v>9</v>
      </c>
      <c r="K2" s="5" t="n">
        <v>5</v>
      </c>
      <c r="L2" s="5" t="n">
        <v>4</v>
      </c>
      <c r="M2" s="5" t="s">
        <v>319</v>
      </c>
      <c r="N2" s="5" t="s">
        <v>320</v>
      </c>
    </row>
    <row r="3" customFormat="false" ht="150" hidden="false" customHeight="true" outlineLevel="0" collapsed="false">
      <c r="A3" s="5" t="s">
        <v>321</v>
      </c>
      <c r="B3" s="5" t="s">
        <v>322</v>
      </c>
      <c r="C3" s="5" t="s">
        <v>323</v>
      </c>
      <c r="D3" s="5" t="s">
        <v>324</v>
      </c>
      <c r="E3" s="5" t="s">
        <v>325</v>
      </c>
      <c r="F3" s="5" t="n">
        <v>4</v>
      </c>
      <c r="G3" s="5" t="s">
        <v>326</v>
      </c>
      <c r="H3" s="5" t="s">
        <v>327</v>
      </c>
      <c r="I3" s="5" t="n">
        <v>22</v>
      </c>
      <c r="J3" s="5" t="n">
        <v>7</v>
      </c>
      <c r="K3" s="5" t="n">
        <v>5</v>
      </c>
      <c r="L3" s="5" t="n">
        <v>10</v>
      </c>
      <c r="M3" s="5" t="s">
        <v>328</v>
      </c>
      <c r="N3" s="5" t="s">
        <v>329</v>
      </c>
    </row>
    <row r="4" customFormat="false" ht="150" hidden="false" customHeight="true" outlineLevel="0" collapsed="false">
      <c r="A4" s="5" t="s">
        <v>330</v>
      </c>
      <c r="B4" s="5" t="s">
        <v>331</v>
      </c>
      <c r="C4" s="5" t="s">
        <v>332</v>
      </c>
      <c r="D4" s="5" t="s">
        <v>333</v>
      </c>
      <c r="E4" s="5" t="s">
        <v>334</v>
      </c>
      <c r="F4" s="5" t="n">
        <v>4</v>
      </c>
      <c r="G4" s="5" t="s">
        <v>335</v>
      </c>
      <c r="H4" s="5" t="s">
        <v>336</v>
      </c>
      <c r="I4" s="5" t="n">
        <v>16</v>
      </c>
      <c r="J4" s="5" t="n">
        <v>8</v>
      </c>
      <c r="K4" s="5" t="n">
        <v>2</v>
      </c>
      <c r="L4" s="5" t="n">
        <v>6</v>
      </c>
      <c r="M4" s="5" t="s">
        <v>337</v>
      </c>
      <c r="N4" s="5" t="s">
        <v>338</v>
      </c>
    </row>
    <row r="5" customFormat="false" ht="150" hidden="false" customHeight="true" outlineLevel="0" collapsed="false">
      <c r="A5" s="5" t="s">
        <v>339</v>
      </c>
      <c r="B5" s="5" t="s">
        <v>340</v>
      </c>
      <c r="C5" s="5" t="s">
        <v>341</v>
      </c>
      <c r="D5" s="5" t="s">
        <v>342</v>
      </c>
      <c r="E5" s="5" t="s">
        <v>343</v>
      </c>
      <c r="F5" s="5" t="n">
        <v>4</v>
      </c>
      <c r="G5" s="5" t="s">
        <v>344</v>
      </c>
      <c r="H5" s="5" t="s">
        <v>345</v>
      </c>
      <c r="I5" s="5" t="n">
        <v>23</v>
      </c>
      <c r="J5" s="5" t="n">
        <v>5</v>
      </c>
      <c r="K5" s="5" t="n">
        <v>3</v>
      </c>
      <c r="L5" s="5" t="n">
        <v>15</v>
      </c>
      <c r="M5" s="5" t="s">
        <v>346</v>
      </c>
      <c r="N5" s="5" t="s">
        <v>347</v>
      </c>
    </row>
    <row r="6" customFormat="false" ht="150" hidden="false" customHeight="true" outlineLevel="0" collapsed="false">
      <c r="A6" s="5" t="s">
        <v>348</v>
      </c>
      <c r="B6" s="5" t="s">
        <v>349</v>
      </c>
      <c r="C6" s="5" t="s">
        <v>350</v>
      </c>
      <c r="D6" s="5" t="s">
        <v>351</v>
      </c>
      <c r="E6" s="5" t="s">
        <v>352</v>
      </c>
      <c r="F6" s="5" t="n">
        <v>4</v>
      </c>
      <c r="G6" s="5" t="s">
        <v>353</v>
      </c>
      <c r="H6" s="5" t="s">
        <v>354</v>
      </c>
      <c r="I6" s="5" t="n">
        <v>30</v>
      </c>
      <c r="J6" s="5" t="n">
        <v>4</v>
      </c>
      <c r="K6" s="5" t="n">
        <v>6</v>
      </c>
      <c r="L6" s="5" t="n">
        <v>20</v>
      </c>
      <c r="M6" s="5" t="s">
        <v>355</v>
      </c>
      <c r="N6" s="5" t="s">
        <v>356</v>
      </c>
    </row>
    <row r="7" customFormat="false" ht="150" hidden="false" customHeight="true" outlineLevel="0" collapsed="false">
      <c r="A7" s="5" t="s">
        <v>357</v>
      </c>
      <c r="B7" s="5" t="s">
        <v>358</v>
      </c>
      <c r="C7" s="5" t="s">
        <v>359</v>
      </c>
      <c r="D7" s="5" t="s">
        <v>360</v>
      </c>
      <c r="E7" s="5" t="s">
        <v>361</v>
      </c>
      <c r="F7" s="5" t="n">
        <v>4</v>
      </c>
      <c r="G7" s="5" t="s">
        <v>362</v>
      </c>
      <c r="H7" s="5" t="s">
        <v>363</v>
      </c>
      <c r="I7" s="5" t="n">
        <v>25</v>
      </c>
      <c r="J7" s="5" t="n">
        <v>7</v>
      </c>
      <c r="K7" s="5" t="n">
        <v>12</v>
      </c>
      <c r="L7" s="5" t="n">
        <v>6</v>
      </c>
      <c r="M7" s="5" t="s">
        <v>364</v>
      </c>
      <c r="N7" s="5" t="s">
        <v>365</v>
      </c>
    </row>
    <row r="8" customFormat="false" ht="150" hidden="false" customHeight="true" outlineLevel="0" collapsed="false">
      <c r="A8" s="5" t="s">
        <v>366</v>
      </c>
      <c r="B8" s="5" t="s">
        <v>367</v>
      </c>
      <c r="C8" s="5" t="s">
        <v>368</v>
      </c>
      <c r="D8" s="5" t="s">
        <v>369</v>
      </c>
      <c r="E8" s="5" t="s">
        <v>370</v>
      </c>
      <c r="F8" s="5" t="n">
        <v>4</v>
      </c>
      <c r="G8" s="5" t="s">
        <v>371</v>
      </c>
      <c r="H8" s="5" t="s">
        <v>372</v>
      </c>
      <c r="I8" s="5" t="n">
        <v>18</v>
      </c>
      <c r="J8" s="5" t="n">
        <v>7</v>
      </c>
      <c r="K8" s="5" t="n">
        <v>6</v>
      </c>
      <c r="L8" s="5" t="n">
        <v>5</v>
      </c>
      <c r="M8" s="5" t="s">
        <v>373</v>
      </c>
      <c r="N8" s="5" t="s">
        <v>374</v>
      </c>
    </row>
    <row r="9" customFormat="false" ht="150" hidden="false" customHeight="true" outlineLevel="0" collapsed="false">
      <c r="A9" s="5" t="s">
        <v>375</v>
      </c>
      <c r="B9" s="5" t="s">
        <v>376</v>
      </c>
      <c r="C9" s="5" t="s">
        <v>377</v>
      </c>
      <c r="D9" s="5" t="s">
        <v>378</v>
      </c>
      <c r="E9" s="5" t="s">
        <v>379</v>
      </c>
      <c r="F9" s="5" t="n">
        <v>4</v>
      </c>
      <c r="G9" s="5" t="s">
        <v>380</v>
      </c>
      <c r="H9" s="5" t="s">
        <v>381</v>
      </c>
      <c r="I9" s="5" t="n">
        <v>14</v>
      </c>
      <c r="J9" s="5" t="n">
        <v>6</v>
      </c>
      <c r="K9" s="5" t="n">
        <v>6</v>
      </c>
      <c r="L9" s="5" t="n">
        <v>2</v>
      </c>
      <c r="M9" s="5" t="s">
        <v>382</v>
      </c>
      <c r="N9" s="5" t="s">
        <v>383</v>
      </c>
    </row>
    <row r="10" customFormat="false" ht="150" hidden="false" customHeight="true" outlineLevel="0" collapsed="false">
      <c r="A10" s="5" t="s">
        <v>384</v>
      </c>
      <c r="B10" s="5" t="s">
        <v>385</v>
      </c>
      <c r="C10" s="5" t="s">
        <v>386</v>
      </c>
      <c r="D10" s="5" t="s">
        <v>360</v>
      </c>
      <c r="E10" s="5" t="s">
        <v>387</v>
      </c>
      <c r="F10" s="5" t="n">
        <v>4</v>
      </c>
      <c r="G10" s="5" t="s">
        <v>388</v>
      </c>
      <c r="H10" s="5" t="s">
        <v>389</v>
      </c>
      <c r="I10" s="5" t="n">
        <v>9</v>
      </c>
      <c r="J10" s="5" t="n">
        <v>8</v>
      </c>
      <c r="K10" s="5" t="n">
        <v>1</v>
      </c>
      <c r="L10" s="5" t="n">
        <v>0</v>
      </c>
      <c r="M10" s="5" t="s">
        <v>390</v>
      </c>
      <c r="N10" s="5" t="s">
        <v>391</v>
      </c>
    </row>
    <row r="11" customFormat="false" ht="150" hidden="false" customHeight="true" outlineLevel="0" collapsed="false">
      <c r="A11" s="5" t="s">
        <v>392</v>
      </c>
      <c r="B11" s="5" t="s">
        <v>393</v>
      </c>
      <c r="C11" s="5" t="s">
        <v>394</v>
      </c>
      <c r="D11" s="5" t="s">
        <v>360</v>
      </c>
      <c r="E11" s="5" t="s">
        <v>395</v>
      </c>
      <c r="F11" s="5" t="n">
        <v>4</v>
      </c>
      <c r="G11" s="5" t="s">
        <v>396</v>
      </c>
      <c r="H11" s="5" t="s">
        <v>397</v>
      </c>
      <c r="I11" s="5" t="n">
        <v>14</v>
      </c>
      <c r="J11" s="5" t="n">
        <v>11</v>
      </c>
      <c r="K11" s="5" t="n">
        <v>2</v>
      </c>
      <c r="L11" s="5" t="n">
        <v>1</v>
      </c>
      <c r="M11" s="5" t="s">
        <v>398</v>
      </c>
      <c r="N11" s="5" t="s">
        <v>399</v>
      </c>
    </row>
    <row r="12" customFormat="false" ht="150" hidden="false" customHeight="true" outlineLevel="0" collapsed="false">
      <c r="A12" s="5" t="s">
        <v>400</v>
      </c>
      <c r="B12" s="5" t="s">
        <v>401</v>
      </c>
      <c r="C12" s="5" t="s">
        <v>402</v>
      </c>
      <c r="D12" s="5" t="s">
        <v>403</v>
      </c>
      <c r="E12" s="5" t="s">
        <v>404</v>
      </c>
      <c r="F12" s="5" t="n">
        <v>3</v>
      </c>
      <c r="G12" s="5" t="s">
        <v>405</v>
      </c>
      <c r="H12" s="5" t="s">
        <v>406</v>
      </c>
      <c r="I12" s="5" t="n">
        <v>21</v>
      </c>
      <c r="J12" s="5" t="n">
        <v>5</v>
      </c>
      <c r="K12" s="5" t="n">
        <v>4</v>
      </c>
      <c r="L12" s="5" t="n">
        <v>12</v>
      </c>
      <c r="M12" s="5" t="s">
        <v>407</v>
      </c>
      <c r="N12" s="5" t="s">
        <v>408</v>
      </c>
    </row>
    <row r="13" customFormat="false" ht="150" hidden="false" customHeight="true" outlineLevel="0" collapsed="false">
      <c r="A13" s="5" t="s">
        <v>409</v>
      </c>
      <c r="B13" s="5" t="s">
        <v>410</v>
      </c>
      <c r="C13" s="5" t="s">
        <v>411</v>
      </c>
      <c r="D13" s="5" t="s">
        <v>412</v>
      </c>
      <c r="E13" s="5" t="s">
        <v>413</v>
      </c>
      <c r="F13" s="5" t="n">
        <v>3</v>
      </c>
      <c r="G13" s="5" t="s">
        <v>414</v>
      </c>
      <c r="H13" s="5" t="s">
        <v>415</v>
      </c>
      <c r="I13" s="5" t="n">
        <v>25</v>
      </c>
      <c r="J13" s="5" t="n">
        <v>5</v>
      </c>
      <c r="K13" s="5" t="n">
        <v>17</v>
      </c>
      <c r="L13" s="5" t="n">
        <v>3</v>
      </c>
      <c r="M13" s="5" t="s">
        <v>416</v>
      </c>
      <c r="N13" s="5" t="s">
        <v>417</v>
      </c>
    </row>
    <row r="14" customFormat="false" ht="150" hidden="false" customHeight="true" outlineLevel="0" collapsed="false">
      <c r="A14" s="5" t="s">
        <v>418</v>
      </c>
      <c r="B14" s="5" t="s">
        <v>419</v>
      </c>
      <c r="C14" s="5" t="s">
        <v>420</v>
      </c>
      <c r="D14" s="5" t="s">
        <v>360</v>
      </c>
      <c r="E14" s="5" t="s">
        <v>421</v>
      </c>
      <c r="F14" s="5" t="n">
        <v>3</v>
      </c>
      <c r="G14" s="5" t="s">
        <v>422</v>
      </c>
      <c r="H14" s="5" t="s">
        <v>423</v>
      </c>
      <c r="I14" s="5" t="n">
        <v>16</v>
      </c>
      <c r="J14" s="5" t="n">
        <v>3</v>
      </c>
      <c r="K14" s="5" t="n">
        <v>6</v>
      </c>
      <c r="L14" s="5" t="n">
        <v>7</v>
      </c>
      <c r="M14" s="5" t="s">
        <v>424</v>
      </c>
      <c r="N14" s="5" t="s">
        <v>425</v>
      </c>
    </row>
    <row r="15" customFormat="false" ht="150" hidden="false" customHeight="true" outlineLevel="0" collapsed="false">
      <c r="A15" s="5" t="s">
        <v>426</v>
      </c>
      <c r="B15" s="5" t="s">
        <v>427</v>
      </c>
      <c r="C15" s="5" t="s">
        <v>428</v>
      </c>
      <c r="D15" s="5" t="s">
        <v>333</v>
      </c>
      <c r="E15" s="5" t="s">
        <v>429</v>
      </c>
      <c r="F15" s="5" t="n">
        <v>3</v>
      </c>
      <c r="G15" s="5" t="s">
        <v>430</v>
      </c>
      <c r="H15" s="5" t="s">
        <v>431</v>
      </c>
      <c r="I15" s="5" t="n">
        <v>18</v>
      </c>
      <c r="J15" s="5" t="n">
        <v>2</v>
      </c>
      <c r="K15" s="5" t="n">
        <v>8</v>
      </c>
      <c r="L15" s="5" t="n">
        <v>8</v>
      </c>
      <c r="M15" s="5" t="s">
        <v>432</v>
      </c>
      <c r="N15" s="5" t="s">
        <v>433</v>
      </c>
    </row>
    <row r="16" customFormat="false" ht="150" hidden="false" customHeight="true" outlineLevel="0" collapsed="false">
      <c r="A16" s="5" t="s">
        <v>434</v>
      </c>
      <c r="B16" s="5" t="s">
        <v>435</v>
      </c>
      <c r="C16" s="5" t="s">
        <v>436</v>
      </c>
      <c r="D16" s="5" t="s">
        <v>437</v>
      </c>
      <c r="E16" s="5" t="s">
        <v>438</v>
      </c>
      <c r="F16" s="5" t="n">
        <v>3</v>
      </c>
      <c r="G16" s="5" t="s">
        <v>439</v>
      </c>
      <c r="H16" s="5" t="s">
        <v>440</v>
      </c>
      <c r="I16" s="5" t="n">
        <v>17</v>
      </c>
      <c r="J16" s="5" t="n">
        <v>8</v>
      </c>
      <c r="K16" s="5" t="n">
        <v>4</v>
      </c>
      <c r="L16" s="5" t="n">
        <v>5</v>
      </c>
      <c r="M16" s="5" t="s">
        <v>441</v>
      </c>
      <c r="N16" s="5" t="s">
        <v>442</v>
      </c>
    </row>
    <row r="17" customFormat="false" ht="150" hidden="false" customHeight="true" outlineLevel="0" collapsed="false">
      <c r="A17" s="5" t="s">
        <v>443</v>
      </c>
      <c r="B17" s="5" t="s">
        <v>444</v>
      </c>
      <c r="C17" s="5" t="s">
        <v>445</v>
      </c>
      <c r="D17" s="5" t="s">
        <v>360</v>
      </c>
      <c r="E17" s="5" t="s">
        <v>446</v>
      </c>
      <c r="F17" s="5" t="n">
        <v>3</v>
      </c>
      <c r="G17" s="5" t="s">
        <v>447</v>
      </c>
      <c r="H17" s="5" t="s">
        <v>448</v>
      </c>
      <c r="I17" s="5" t="n">
        <v>14</v>
      </c>
      <c r="J17" s="5" t="n">
        <v>5</v>
      </c>
      <c r="K17" s="5" t="n">
        <v>4</v>
      </c>
      <c r="L17" s="5" t="n">
        <v>5</v>
      </c>
      <c r="M17" s="5" t="s">
        <v>449</v>
      </c>
      <c r="N17" s="5" t="s">
        <v>450</v>
      </c>
    </row>
    <row r="18" customFormat="false" ht="150" hidden="false" customHeight="true" outlineLevel="0" collapsed="false">
      <c r="A18" s="5" t="s">
        <v>451</v>
      </c>
      <c r="B18" s="5" t="s">
        <v>452</v>
      </c>
      <c r="C18" s="5" t="s">
        <v>453</v>
      </c>
      <c r="D18" s="5" t="s">
        <v>454</v>
      </c>
      <c r="E18" s="5" t="s">
        <v>455</v>
      </c>
      <c r="F18" s="5" t="n">
        <v>3</v>
      </c>
      <c r="G18" s="5" t="s">
        <v>456</v>
      </c>
      <c r="H18" s="5" t="s">
        <v>457</v>
      </c>
      <c r="I18" s="5" t="n">
        <v>20</v>
      </c>
      <c r="J18" s="5" t="n">
        <v>8</v>
      </c>
      <c r="K18" s="5" t="n">
        <v>8</v>
      </c>
      <c r="L18" s="5" t="n">
        <v>4</v>
      </c>
      <c r="M18" s="5" t="s">
        <v>458</v>
      </c>
      <c r="N18" s="5" t="s">
        <v>459</v>
      </c>
    </row>
    <row r="19" customFormat="false" ht="150" hidden="false" customHeight="true" outlineLevel="0" collapsed="false">
      <c r="A19" s="5" t="s">
        <v>460</v>
      </c>
      <c r="B19" s="5" t="s">
        <v>461</v>
      </c>
      <c r="C19" s="5" t="s">
        <v>462</v>
      </c>
      <c r="D19" s="5" t="s">
        <v>463</v>
      </c>
      <c r="E19" s="5" t="s">
        <v>464</v>
      </c>
      <c r="F19" s="5" t="n">
        <v>3</v>
      </c>
      <c r="G19" s="5" t="s">
        <v>465</v>
      </c>
      <c r="H19" s="5" t="s">
        <v>466</v>
      </c>
      <c r="I19" s="5" t="n">
        <v>18</v>
      </c>
      <c r="J19" s="5" t="n">
        <v>5</v>
      </c>
      <c r="K19" s="5" t="n">
        <v>4</v>
      </c>
      <c r="L19" s="5" t="n">
        <v>9</v>
      </c>
      <c r="M19" s="5" t="s">
        <v>467</v>
      </c>
      <c r="N19" s="5" t="s">
        <v>468</v>
      </c>
    </row>
    <row r="20" customFormat="false" ht="150" hidden="false" customHeight="true" outlineLevel="0" collapsed="false">
      <c r="A20" s="5" t="s">
        <v>469</v>
      </c>
      <c r="B20" s="5" t="s">
        <v>470</v>
      </c>
      <c r="C20" s="5" t="s">
        <v>471</v>
      </c>
      <c r="D20" s="5" t="s">
        <v>472</v>
      </c>
      <c r="E20" s="5" t="s">
        <v>473</v>
      </c>
      <c r="F20" s="5" t="n">
        <v>3</v>
      </c>
      <c r="G20" s="5" t="s">
        <v>474</v>
      </c>
      <c r="H20" s="5" t="s">
        <v>475</v>
      </c>
      <c r="I20" s="5" t="n">
        <v>16</v>
      </c>
      <c r="J20" s="5" t="n">
        <v>1</v>
      </c>
      <c r="K20" s="5" t="n">
        <v>8</v>
      </c>
      <c r="L20" s="5" t="n">
        <v>7</v>
      </c>
      <c r="M20" s="5" t="s">
        <v>476</v>
      </c>
      <c r="N20" s="5" t="s">
        <v>477</v>
      </c>
    </row>
    <row r="21" customFormat="false" ht="150" hidden="false" customHeight="true" outlineLevel="0" collapsed="false">
      <c r="A21" s="5" t="s">
        <v>478</v>
      </c>
      <c r="B21" s="5" t="s">
        <v>479</v>
      </c>
      <c r="C21" s="5" t="s">
        <v>480</v>
      </c>
      <c r="D21" s="5" t="s">
        <v>481</v>
      </c>
      <c r="E21" s="5" t="s">
        <v>482</v>
      </c>
      <c r="F21" s="5" t="n">
        <v>3</v>
      </c>
      <c r="G21" s="5" t="s">
        <v>483</v>
      </c>
      <c r="H21" s="5" t="s">
        <v>484</v>
      </c>
      <c r="I21" s="5" t="n">
        <v>17</v>
      </c>
      <c r="J21" s="5" t="n">
        <v>5</v>
      </c>
      <c r="K21" s="5" t="n">
        <v>5</v>
      </c>
      <c r="L21" s="5" t="n">
        <v>7</v>
      </c>
      <c r="M21" s="5" t="s">
        <v>485</v>
      </c>
      <c r="N21" s="5" t="s">
        <v>486</v>
      </c>
    </row>
    <row r="22" customFormat="false" ht="150" hidden="false" customHeight="true" outlineLevel="0" collapsed="false">
      <c r="A22" s="5" t="s">
        <v>487</v>
      </c>
      <c r="B22" s="5" t="s">
        <v>488</v>
      </c>
      <c r="C22" s="5" t="s">
        <v>489</v>
      </c>
      <c r="D22" s="5" t="s">
        <v>490</v>
      </c>
      <c r="E22" s="5" t="s">
        <v>491</v>
      </c>
      <c r="F22" s="5" t="n">
        <v>3</v>
      </c>
      <c r="G22" s="5" t="s">
        <v>492</v>
      </c>
      <c r="H22" s="5" t="s">
        <v>493</v>
      </c>
      <c r="I22" s="5" t="n">
        <v>14</v>
      </c>
      <c r="J22" s="5" t="n">
        <v>4</v>
      </c>
      <c r="K22" s="5" t="n">
        <v>7</v>
      </c>
      <c r="L22" s="5" t="n">
        <v>3</v>
      </c>
      <c r="M22" s="5" t="s">
        <v>494</v>
      </c>
      <c r="N22" s="5" t="s">
        <v>495</v>
      </c>
    </row>
    <row r="23" customFormat="false" ht="150" hidden="false" customHeight="true" outlineLevel="0" collapsed="false">
      <c r="A23" s="5" t="s">
        <v>496</v>
      </c>
      <c r="B23" s="5" t="s">
        <v>497</v>
      </c>
      <c r="C23" s="5" t="s">
        <v>498</v>
      </c>
      <c r="D23" s="5" t="s">
        <v>360</v>
      </c>
      <c r="E23" s="5" t="s">
        <v>499</v>
      </c>
      <c r="F23" s="5" t="n">
        <v>3</v>
      </c>
      <c r="G23" s="5" t="s">
        <v>500</v>
      </c>
      <c r="H23" s="5" t="s">
        <v>501</v>
      </c>
      <c r="I23" s="5" t="n">
        <v>12</v>
      </c>
      <c r="J23" s="5" t="n">
        <v>4</v>
      </c>
      <c r="K23" s="5" t="n">
        <v>3</v>
      </c>
      <c r="L23" s="5" t="n">
        <v>5</v>
      </c>
      <c r="M23" s="5" t="s">
        <v>502</v>
      </c>
      <c r="N23" s="5" t="s">
        <v>503</v>
      </c>
    </row>
    <row r="24" customFormat="false" ht="150" hidden="false" customHeight="true" outlineLevel="0" collapsed="false">
      <c r="A24" s="5" t="s">
        <v>504</v>
      </c>
      <c r="B24" s="5" t="s">
        <v>505</v>
      </c>
      <c r="C24" s="5" t="s">
        <v>506</v>
      </c>
      <c r="D24" s="5" t="s">
        <v>507</v>
      </c>
      <c r="E24" s="5" t="s">
        <v>508</v>
      </c>
      <c r="F24" s="5" t="n">
        <v>3</v>
      </c>
      <c r="G24" s="5" t="s">
        <v>509</v>
      </c>
      <c r="H24" s="5" t="s">
        <v>510</v>
      </c>
      <c r="I24" s="5" t="n">
        <v>11</v>
      </c>
      <c r="J24" s="5" t="n">
        <v>2</v>
      </c>
      <c r="K24" s="5" t="n">
        <v>8</v>
      </c>
      <c r="L24" s="5" t="n">
        <v>1</v>
      </c>
      <c r="M24" s="5" t="s">
        <v>511</v>
      </c>
      <c r="N24" s="5" t="s">
        <v>512</v>
      </c>
    </row>
    <row r="25" customFormat="false" ht="150" hidden="false" customHeight="true" outlineLevel="0" collapsed="false">
      <c r="A25" s="5" t="s">
        <v>513</v>
      </c>
      <c r="B25" s="5" t="s">
        <v>514</v>
      </c>
      <c r="C25" s="5" t="s">
        <v>515</v>
      </c>
      <c r="D25" s="5" t="s">
        <v>360</v>
      </c>
      <c r="E25" s="5" t="s">
        <v>516</v>
      </c>
      <c r="F25" s="5" t="n">
        <v>3</v>
      </c>
      <c r="G25" s="5" t="s">
        <v>517</v>
      </c>
      <c r="H25" s="5" t="s">
        <v>518</v>
      </c>
      <c r="I25" s="5" t="n">
        <v>9</v>
      </c>
      <c r="J25" s="5" t="n">
        <v>3</v>
      </c>
      <c r="K25" s="5" t="n">
        <v>5</v>
      </c>
      <c r="L25" s="5" t="n">
        <v>1</v>
      </c>
      <c r="M25" s="5" t="s">
        <v>519</v>
      </c>
      <c r="N25" s="5" t="s">
        <v>520</v>
      </c>
    </row>
    <row r="26" customFormat="false" ht="150" hidden="false" customHeight="true" outlineLevel="0" collapsed="false">
      <c r="A26" s="5" t="s">
        <v>521</v>
      </c>
      <c r="B26" s="5" t="s">
        <v>522</v>
      </c>
      <c r="C26" s="5" t="s">
        <v>523</v>
      </c>
      <c r="D26" s="5" t="s">
        <v>524</v>
      </c>
      <c r="E26" s="5" t="s">
        <v>525</v>
      </c>
      <c r="F26" s="5" t="n">
        <v>3</v>
      </c>
      <c r="G26" s="5" t="s">
        <v>526</v>
      </c>
      <c r="H26" s="5" t="s">
        <v>527</v>
      </c>
      <c r="I26" s="5" t="n">
        <v>13</v>
      </c>
      <c r="J26" s="5" t="n">
        <v>2</v>
      </c>
      <c r="K26" s="5" t="n">
        <v>4</v>
      </c>
      <c r="L26" s="5" t="n">
        <v>7</v>
      </c>
      <c r="M26" s="5" t="s">
        <v>528</v>
      </c>
      <c r="N26" s="5" t="s">
        <v>529</v>
      </c>
    </row>
    <row r="27" customFormat="false" ht="150" hidden="false" customHeight="true" outlineLevel="0" collapsed="false">
      <c r="A27" s="5" t="s">
        <v>530</v>
      </c>
      <c r="B27" s="5" t="s">
        <v>531</v>
      </c>
      <c r="C27" s="5" t="s">
        <v>532</v>
      </c>
      <c r="D27" s="5" t="s">
        <v>360</v>
      </c>
      <c r="E27" s="5" t="s">
        <v>533</v>
      </c>
      <c r="F27" s="5" t="n">
        <v>3</v>
      </c>
      <c r="G27" s="5" t="s">
        <v>534</v>
      </c>
      <c r="H27" s="5" t="s">
        <v>535</v>
      </c>
      <c r="I27" s="5" t="n">
        <v>18</v>
      </c>
      <c r="J27" s="5" t="n">
        <v>4</v>
      </c>
      <c r="K27" s="5" t="n">
        <v>9</v>
      </c>
      <c r="L27" s="5" t="n">
        <v>5</v>
      </c>
      <c r="M27" s="5" t="s">
        <v>536</v>
      </c>
      <c r="N27" s="5" t="s">
        <v>537</v>
      </c>
    </row>
    <row r="28" customFormat="false" ht="150" hidden="false" customHeight="true" outlineLevel="0" collapsed="false">
      <c r="A28" s="5" t="s">
        <v>538</v>
      </c>
      <c r="B28" s="5" t="s">
        <v>539</v>
      </c>
      <c r="C28" s="5" t="s">
        <v>540</v>
      </c>
      <c r="D28" s="5" t="s">
        <v>541</v>
      </c>
      <c r="E28" s="5" t="s">
        <v>542</v>
      </c>
      <c r="F28" s="5" t="n">
        <v>3</v>
      </c>
      <c r="G28" s="5" t="s">
        <v>543</v>
      </c>
      <c r="H28" s="5" t="s">
        <v>544</v>
      </c>
      <c r="I28" s="5" t="n">
        <v>15</v>
      </c>
      <c r="J28" s="5" t="n">
        <v>4</v>
      </c>
      <c r="K28" s="5" t="n">
        <v>7</v>
      </c>
      <c r="L28" s="5" t="n">
        <v>4</v>
      </c>
      <c r="M28" s="5" t="s">
        <v>545</v>
      </c>
      <c r="N28" s="5" t="s">
        <v>546</v>
      </c>
    </row>
    <row r="29" customFormat="false" ht="150" hidden="false" customHeight="true" outlineLevel="0" collapsed="false">
      <c r="A29" s="5" t="s">
        <v>547</v>
      </c>
      <c r="B29" s="5" t="s">
        <v>548</v>
      </c>
      <c r="C29" s="5" t="s">
        <v>549</v>
      </c>
      <c r="D29" s="5" t="s">
        <v>550</v>
      </c>
      <c r="E29" s="5" t="s">
        <v>551</v>
      </c>
      <c r="F29" s="5" t="n">
        <v>3</v>
      </c>
      <c r="G29" s="5" t="s">
        <v>552</v>
      </c>
      <c r="H29" s="5" t="s">
        <v>553</v>
      </c>
      <c r="I29" s="5" t="n">
        <v>10</v>
      </c>
      <c r="J29" s="5" t="n">
        <v>1</v>
      </c>
      <c r="K29" s="5" t="n">
        <v>4</v>
      </c>
      <c r="L29" s="5" t="n">
        <v>5</v>
      </c>
      <c r="M29" s="5" t="s">
        <v>554</v>
      </c>
      <c r="N29" s="5" t="s">
        <v>555</v>
      </c>
    </row>
    <row r="30" customFormat="false" ht="150" hidden="false" customHeight="true" outlineLevel="0" collapsed="false">
      <c r="A30" s="5" t="s">
        <v>556</v>
      </c>
      <c r="B30" s="5" t="s">
        <v>557</v>
      </c>
      <c r="C30" s="5" t="s">
        <v>558</v>
      </c>
      <c r="D30" s="5" t="s">
        <v>360</v>
      </c>
      <c r="E30" s="5" t="s">
        <v>559</v>
      </c>
      <c r="F30" s="5" t="n">
        <v>3</v>
      </c>
      <c r="G30" s="5" t="s">
        <v>560</v>
      </c>
      <c r="H30" s="5" t="s">
        <v>561</v>
      </c>
      <c r="I30" s="5" t="n">
        <v>12</v>
      </c>
      <c r="J30" s="5" t="n">
        <v>6</v>
      </c>
      <c r="K30" s="5" t="n">
        <v>5</v>
      </c>
      <c r="L30" s="5" t="n">
        <v>1</v>
      </c>
      <c r="M30" s="5" t="s">
        <v>562</v>
      </c>
      <c r="N30" s="5" t="s">
        <v>563</v>
      </c>
    </row>
    <row r="31" customFormat="false" ht="150" hidden="false" customHeight="true" outlineLevel="0" collapsed="false">
      <c r="A31" s="5" t="s">
        <v>564</v>
      </c>
      <c r="B31" s="5" t="s">
        <v>565</v>
      </c>
      <c r="C31" s="5" t="s">
        <v>566</v>
      </c>
      <c r="D31" s="5" t="s">
        <v>567</v>
      </c>
      <c r="E31" s="5" t="s">
        <v>568</v>
      </c>
      <c r="F31" s="5" t="n">
        <v>3</v>
      </c>
      <c r="G31" s="5" t="s">
        <v>569</v>
      </c>
      <c r="H31" s="5" t="s">
        <v>570</v>
      </c>
      <c r="I31" s="5" t="n">
        <v>14</v>
      </c>
      <c r="J31" s="5" t="n">
        <v>2</v>
      </c>
      <c r="K31" s="5" t="n">
        <v>7</v>
      </c>
      <c r="L31" s="5" t="n">
        <v>5</v>
      </c>
      <c r="M31" s="5" t="s">
        <v>571</v>
      </c>
      <c r="N31" s="5" t="s">
        <v>572</v>
      </c>
    </row>
    <row r="32" customFormat="false" ht="150" hidden="false" customHeight="true" outlineLevel="0" collapsed="false">
      <c r="A32" s="5" t="s">
        <v>573</v>
      </c>
      <c r="B32" s="5" t="s">
        <v>574</v>
      </c>
      <c r="C32" s="5" t="s">
        <v>575</v>
      </c>
      <c r="D32" s="5" t="s">
        <v>360</v>
      </c>
      <c r="E32" s="5" t="s">
        <v>576</v>
      </c>
      <c r="F32" s="5" t="n">
        <v>3</v>
      </c>
      <c r="G32" s="5" t="s">
        <v>577</v>
      </c>
      <c r="H32" s="5" t="s">
        <v>578</v>
      </c>
      <c r="I32" s="5" t="n">
        <v>16</v>
      </c>
      <c r="J32" s="5" t="n">
        <v>2</v>
      </c>
      <c r="K32" s="5" t="n">
        <v>3</v>
      </c>
      <c r="L32" s="5" t="n">
        <v>11</v>
      </c>
      <c r="M32" s="5" t="s">
        <v>579</v>
      </c>
      <c r="N32" s="5" t="s">
        <v>580</v>
      </c>
    </row>
    <row r="33" customFormat="false" ht="150" hidden="false" customHeight="true" outlineLevel="0" collapsed="false">
      <c r="A33" s="5" t="s">
        <v>581</v>
      </c>
      <c r="B33" s="5" t="s">
        <v>582</v>
      </c>
      <c r="C33" s="5" t="s">
        <v>583</v>
      </c>
      <c r="D33" s="5" t="s">
        <v>360</v>
      </c>
      <c r="E33" s="5" t="s">
        <v>584</v>
      </c>
      <c r="F33" s="5" t="n">
        <v>3</v>
      </c>
      <c r="G33" s="5" t="s">
        <v>585</v>
      </c>
      <c r="H33" s="5" t="s">
        <v>586</v>
      </c>
      <c r="I33" s="5" t="n">
        <v>16</v>
      </c>
      <c r="J33" s="5" t="n">
        <v>6</v>
      </c>
      <c r="K33" s="5" t="n">
        <v>10</v>
      </c>
      <c r="L33" s="5" t="n">
        <v>0</v>
      </c>
      <c r="M33" s="5" t="s">
        <v>587</v>
      </c>
      <c r="N33" s="5" t="s">
        <v>588</v>
      </c>
    </row>
    <row r="34" customFormat="false" ht="150" hidden="false" customHeight="true" outlineLevel="0" collapsed="false">
      <c r="A34" s="5" t="s">
        <v>589</v>
      </c>
      <c r="B34" s="5" t="s">
        <v>590</v>
      </c>
      <c r="C34" s="5" t="s">
        <v>591</v>
      </c>
      <c r="D34" s="5" t="s">
        <v>592</v>
      </c>
      <c r="E34" s="5" t="s">
        <v>593</v>
      </c>
      <c r="F34" s="5" t="n">
        <v>3</v>
      </c>
      <c r="G34" s="5" t="s">
        <v>594</v>
      </c>
      <c r="H34" s="5" t="s">
        <v>595</v>
      </c>
      <c r="I34" s="5" t="n">
        <v>11</v>
      </c>
      <c r="J34" s="5" t="n">
        <v>4</v>
      </c>
      <c r="K34" s="5" t="n">
        <v>2</v>
      </c>
      <c r="L34" s="5" t="n">
        <v>5</v>
      </c>
      <c r="M34" s="5" t="s">
        <v>596</v>
      </c>
      <c r="N34" s="5" t="s">
        <v>597</v>
      </c>
    </row>
    <row r="35" customFormat="false" ht="150" hidden="false" customHeight="true" outlineLevel="0" collapsed="false">
      <c r="A35" s="5" t="s">
        <v>598</v>
      </c>
      <c r="B35" s="5" t="s">
        <v>599</v>
      </c>
      <c r="C35" s="5" t="s">
        <v>600</v>
      </c>
      <c r="D35" s="5" t="s">
        <v>360</v>
      </c>
      <c r="E35" s="5" t="s">
        <v>601</v>
      </c>
      <c r="F35" s="5" t="n">
        <v>3</v>
      </c>
      <c r="G35" s="5" t="s">
        <v>602</v>
      </c>
      <c r="H35" s="5" t="s">
        <v>603</v>
      </c>
      <c r="I35" s="5" t="n">
        <v>20</v>
      </c>
      <c r="J35" s="5" t="n">
        <v>4</v>
      </c>
      <c r="K35" s="5" t="n">
        <v>10</v>
      </c>
      <c r="L35" s="5" t="n">
        <v>6</v>
      </c>
      <c r="M35" s="5" t="s">
        <v>604</v>
      </c>
      <c r="N35" s="5" t="s">
        <v>605</v>
      </c>
    </row>
    <row r="36" customFormat="false" ht="150" hidden="false" customHeight="true" outlineLevel="0" collapsed="false">
      <c r="A36" s="5" t="s">
        <v>606</v>
      </c>
      <c r="B36" s="5" t="s">
        <v>607</v>
      </c>
      <c r="C36" s="5" t="s">
        <v>608</v>
      </c>
      <c r="D36" s="5" t="s">
        <v>360</v>
      </c>
      <c r="E36" s="5" t="s">
        <v>609</v>
      </c>
      <c r="F36" s="5" t="n">
        <v>3</v>
      </c>
      <c r="G36" s="5" t="s">
        <v>610</v>
      </c>
      <c r="H36" s="5" t="s">
        <v>611</v>
      </c>
      <c r="I36" s="5" t="n">
        <v>16</v>
      </c>
      <c r="J36" s="5" t="n">
        <v>2</v>
      </c>
      <c r="K36" s="5" t="n">
        <v>10</v>
      </c>
      <c r="L36" s="5" t="n">
        <v>4</v>
      </c>
      <c r="M36" s="5" t="s">
        <v>612</v>
      </c>
      <c r="N36" s="5" t="s">
        <v>613</v>
      </c>
    </row>
    <row r="37" customFormat="false" ht="150" hidden="false" customHeight="true" outlineLevel="0" collapsed="false">
      <c r="A37" s="5" t="s">
        <v>614</v>
      </c>
      <c r="B37" s="5" t="s">
        <v>615</v>
      </c>
      <c r="C37" s="5" t="s">
        <v>616</v>
      </c>
      <c r="D37" s="5" t="s">
        <v>360</v>
      </c>
      <c r="E37" s="5" t="s">
        <v>617</v>
      </c>
      <c r="F37" s="5" t="n">
        <v>3</v>
      </c>
      <c r="G37" s="5" t="s">
        <v>618</v>
      </c>
      <c r="H37" s="5" t="s">
        <v>619</v>
      </c>
      <c r="I37" s="5" t="n">
        <v>12</v>
      </c>
      <c r="J37" s="5" t="n">
        <v>4</v>
      </c>
      <c r="K37" s="5" t="n">
        <v>2</v>
      </c>
      <c r="L37" s="5" t="n">
        <v>6</v>
      </c>
      <c r="M37" s="5" t="s">
        <v>620</v>
      </c>
      <c r="N37" s="5" t="s">
        <v>621</v>
      </c>
    </row>
    <row r="38" customFormat="false" ht="150" hidden="false" customHeight="true" outlineLevel="0" collapsed="false">
      <c r="A38" s="5" t="s">
        <v>622</v>
      </c>
      <c r="B38" s="5" t="s">
        <v>623</v>
      </c>
      <c r="C38" s="5" t="s">
        <v>624</v>
      </c>
      <c r="D38" s="5" t="s">
        <v>360</v>
      </c>
      <c r="E38" s="5" t="s">
        <v>625</v>
      </c>
      <c r="F38" s="5" t="n">
        <v>2</v>
      </c>
      <c r="G38" s="5" t="s">
        <v>626</v>
      </c>
      <c r="H38" s="5" t="s">
        <v>627</v>
      </c>
      <c r="I38" s="5" t="n">
        <v>15</v>
      </c>
      <c r="J38" s="5" t="n">
        <v>1</v>
      </c>
      <c r="K38" s="5" t="n">
        <v>7</v>
      </c>
      <c r="L38" s="5" t="n">
        <v>7</v>
      </c>
      <c r="M38" s="5" t="s">
        <v>628</v>
      </c>
      <c r="N38" s="5" t="s">
        <v>629</v>
      </c>
    </row>
    <row r="39" customFormat="false" ht="150" hidden="false" customHeight="true" outlineLevel="0" collapsed="false">
      <c r="A39" s="5" t="s">
        <v>630</v>
      </c>
      <c r="B39" s="5" t="s">
        <v>631</v>
      </c>
      <c r="C39" s="5" t="s">
        <v>632</v>
      </c>
      <c r="D39" s="5" t="s">
        <v>633</v>
      </c>
      <c r="E39" s="5" t="s">
        <v>634</v>
      </c>
      <c r="F39" s="5" t="n">
        <v>2</v>
      </c>
      <c r="G39" s="5" t="s">
        <v>635</v>
      </c>
      <c r="H39" s="5" t="s">
        <v>636</v>
      </c>
      <c r="I39" s="5" t="n">
        <v>9</v>
      </c>
      <c r="J39" s="5" t="n">
        <v>5</v>
      </c>
      <c r="K39" s="5" t="n">
        <v>3</v>
      </c>
      <c r="L39" s="5" t="n">
        <v>1</v>
      </c>
      <c r="M39" s="5" t="s">
        <v>637</v>
      </c>
      <c r="N39" s="5" t="s">
        <v>638</v>
      </c>
    </row>
    <row r="40" customFormat="false" ht="150" hidden="false" customHeight="true" outlineLevel="0" collapsed="false">
      <c r="A40" s="5" t="s">
        <v>639</v>
      </c>
      <c r="B40" s="5" t="s">
        <v>640</v>
      </c>
      <c r="C40" s="5" t="s">
        <v>641</v>
      </c>
      <c r="D40" s="5" t="s">
        <v>642</v>
      </c>
      <c r="E40" s="5" t="s">
        <v>643</v>
      </c>
      <c r="F40" s="5" t="n">
        <v>2</v>
      </c>
      <c r="G40" s="5" t="s">
        <v>644</v>
      </c>
      <c r="H40" s="5" t="s">
        <v>645</v>
      </c>
      <c r="I40" s="5" t="n">
        <v>9</v>
      </c>
      <c r="J40" s="5" t="n">
        <v>6</v>
      </c>
      <c r="K40" s="5" t="n">
        <v>2</v>
      </c>
      <c r="L40" s="5" t="n">
        <v>1</v>
      </c>
      <c r="M40" s="5" t="s">
        <v>646</v>
      </c>
      <c r="N40" s="5" t="s">
        <v>647</v>
      </c>
    </row>
    <row r="41" customFormat="false" ht="150" hidden="false" customHeight="true" outlineLevel="0" collapsed="false">
      <c r="A41" s="5" t="s">
        <v>648</v>
      </c>
      <c r="B41" s="5" t="s">
        <v>649</v>
      </c>
      <c r="C41" s="5" t="s">
        <v>650</v>
      </c>
      <c r="D41" s="5" t="s">
        <v>651</v>
      </c>
      <c r="E41" s="5" t="s">
        <v>652</v>
      </c>
      <c r="F41" s="5" t="n">
        <v>2</v>
      </c>
      <c r="G41" s="5" t="s">
        <v>653</v>
      </c>
      <c r="H41" s="5" t="s">
        <v>654</v>
      </c>
      <c r="I41" s="5" t="n">
        <v>5</v>
      </c>
      <c r="J41" s="5" t="n">
        <v>2</v>
      </c>
      <c r="K41" s="5" t="n">
        <v>2</v>
      </c>
      <c r="L41" s="5" t="n">
        <v>1</v>
      </c>
      <c r="M41" s="5" t="s">
        <v>655</v>
      </c>
      <c r="N41" s="5" t="s">
        <v>656</v>
      </c>
    </row>
    <row r="42" customFormat="false" ht="150" hidden="false" customHeight="true" outlineLevel="0" collapsed="false">
      <c r="A42" s="5" t="s">
        <v>657</v>
      </c>
      <c r="B42" s="5" t="s">
        <v>658</v>
      </c>
      <c r="C42" s="5" t="s">
        <v>659</v>
      </c>
      <c r="D42" s="5" t="s">
        <v>660</v>
      </c>
      <c r="E42" s="5" t="s">
        <v>661</v>
      </c>
      <c r="F42" s="5" t="n">
        <v>2</v>
      </c>
      <c r="G42" s="5" t="s">
        <v>662</v>
      </c>
      <c r="H42" s="5" t="s">
        <v>663</v>
      </c>
      <c r="I42" s="5" t="n">
        <v>14</v>
      </c>
      <c r="J42" s="5" t="n">
        <v>3</v>
      </c>
      <c r="K42" s="5" t="n">
        <v>5</v>
      </c>
      <c r="L42" s="5" t="n">
        <v>6</v>
      </c>
      <c r="M42" s="5" t="s">
        <v>664</v>
      </c>
      <c r="N42" s="5" t="s">
        <v>665</v>
      </c>
    </row>
    <row r="43" customFormat="false" ht="150" hidden="false" customHeight="true" outlineLevel="0" collapsed="false">
      <c r="A43" s="5" t="s">
        <v>666</v>
      </c>
      <c r="B43" s="5" t="s">
        <v>667</v>
      </c>
      <c r="C43" s="5" t="s">
        <v>668</v>
      </c>
      <c r="D43" s="5" t="s">
        <v>669</v>
      </c>
      <c r="E43" s="5" t="s">
        <v>670</v>
      </c>
      <c r="F43" s="5" t="n">
        <v>2</v>
      </c>
      <c r="G43" s="5" t="s">
        <v>671</v>
      </c>
      <c r="H43" s="5" t="s">
        <v>672</v>
      </c>
      <c r="I43" s="5" t="n">
        <v>12</v>
      </c>
      <c r="J43" s="5" t="n">
        <v>0</v>
      </c>
      <c r="K43" s="5" t="n">
        <v>1</v>
      </c>
      <c r="L43" s="5" t="n">
        <v>11</v>
      </c>
      <c r="M43" s="5" t="s">
        <v>673</v>
      </c>
      <c r="N43" s="5" t="s">
        <v>674</v>
      </c>
    </row>
    <row r="44" customFormat="false" ht="150" hidden="false" customHeight="true" outlineLevel="0" collapsed="false">
      <c r="A44" s="5" t="s">
        <v>675</v>
      </c>
      <c r="B44" s="5" t="s">
        <v>676</v>
      </c>
      <c r="C44" s="5" t="s">
        <v>677</v>
      </c>
      <c r="D44" s="5" t="s">
        <v>678</v>
      </c>
      <c r="E44" s="5" t="s">
        <v>679</v>
      </c>
      <c r="F44" s="5" t="n">
        <v>2</v>
      </c>
      <c r="G44" s="5" t="s">
        <v>680</v>
      </c>
      <c r="H44" s="5" t="s">
        <v>681</v>
      </c>
      <c r="I44" s="5" t="n">
        <v>17</v>
      </c>
      <c r="J44" s="5" t="n">
        <v>4</v>
      </c>
      <c r="K44" s="5" t="n">
        <v>0</v>
      </c>
      <c r="L44" s="5" t="n">
        <v>13</v>
      </c>
      <c r="M44" s="5" t="s">
        <v>682</v>
      </c>
      <c r="N44" s="5" t="s">
        <v>683</v>
      </c>
    </row>
    <row r="45" customFormat="false" ht="150" hidden="false" customHeight="true" outlineLevel="0" collapsed="false">
      <c r="A45" s="5" t="s">
        <v>684</v>
      </c>
      <c r="B45" s="5" t="s">
        <v>685</v>
      </c>
      <c r="C45" s="5" t="s">
        <v>686</v>
      </c>
      <c r="D45" s="5" t="s">
        <v>360</v>
      </c>
      <c r="E45" s="5" t="s">
        <v>687</v>
      </c>
      <c r="F45" s="5" t="n">
        <v>2</v>
      </c>
      <c r="G45" s="5" t="s">
        <v>688</v>
      </c>
      <c r="H45" s="5" t="s">
        <v>689</v>
      </c>
      <c r="I45" s="5" t="n">
        <v>8</v>
      </c>
      <c r="J45" s="5" t="n">
        <v>3</v>
      </c>
      <c r="K45" s="5" t="n">
        <v>2</v>
      </c>
      <c r="L45" s="5" t="n">
        <v>3</v>
      </c>
      <c r="M45" s="5" t="s">
        <v>690</v>
      </c>
      <c r="N45" s="5" t="s">
        <v>691</v>
      </c>
    </row>
    <row r="46" customFormat="false" ht="150" hidden="false" customHeight="true" outlineLevel="0" collapsed="false">
      <c r="A46" s="5" t="s">
        <v>692</v>
      </c>
      <c r="B46" s="5" t="s">
        <v>693</v>
      </c>
      <c r="C46" s="5" t="s">
        <v>694</v>
      </c>
      <c r="D46" s="5" t="s">
        <v>695</v>
      </c>
      <c r="E46" s="5" t="s">
        <v>696</v>
      </c>
      <c r="F46" s="5" t="n">
        <v>2</v>
      </c>
      <c r="G46" s="5" t="s">
        <v>697</v>
      </c>
      <c r="H46" s="5" t="s">
        <v>698</v>
      </c>
      <c r="I46" s="5" t="n">
        <v>11</v>
      </c>
      <c r="J46" s="5" t="n">
        <v>2</v>
      </c>
      <c r="K46" s="5" t="n">
        <v>3</v>
      </c>
      <c r="L46" s="5" t="n">
        <v>6</v>
      </c>
      <c r="M46" s="5" t="s">
        <v>699</v>
      </c>
      <c r="N46" s="5" t="s">
        <v>700</v>
      </c>
    </row>
    <row r="47" customFormat="false" ht="150" hidden="false" customHeight="true" outlineLevel="0" collapsed="false">
      <c r="A47" s="5" t="s">
        <v>701</v>
      </c>
      <c r="B47" s="5" t="s">
        <v>702</v>
      </c>
      <c r="C47" s="5" t="s">
        <v>703</v>
      </c>
      <c r="D47" s="5" t="s">
        <v>704</v>
      </c>
      <c r="E47" s="5" t="s">
        <v>705</v>
      </c>
      <c r="F47" s="5" t="n">
        <v>2</v>
      </c>
      <c r="G47" s="5" t="s">
        <v>706</v>
      </c>
      <c r="H47" s="5" t="s">
        <v>707</v>
      </c>
      <c r="I47" s="5" t="n">
        <v>12</v>
      </c>
      <c r="J47" s="5" t="n">
        <v>3</v>
      </c>
      <c r="K47" s="5" t="n">
        <v>4</v>
      </c>
      <c r="L47" s="5" t="n">
        <v>5</v>
      </c>
      <c r="M47" s="5" t="s">
        <v>708</v>
      </c>
      <c r="N47" s="5" t="s">
        <v>709</v>
      </c>
    </row>
    <row r="48" customFormat="false" ht="150" hidden="false" customHeight="true" outlineLevel="0" collapsed="false">
      <c r="A48" s="5" t="s">
        <v>710</v>
      </c>
      <c r="B48" s="5" t="s">
        <v>711</v>
      </c>
      <c r="C48" s="5" t="s">
        <v>712</v>
      </c>
      <c r="D48" s="5" t="s">
        <v>713</v>
      </c>
      <c r="E48" s="5" t="s">
        <v>714</v>
      </c>
      <c r="F48" s="5" t="n">
        <v>2</v>
      </c>
      <c r="G48" s="5" t="s">
        <v>715</v>
      </c>
      <c r="H48" s="5" t="s">
        <v>716</v>
      </c>
      <c r="I48" s="5" t="n">
        <v>13</v>
      </c>
      <c r="J48" s="5" t="n">
        <v>3</v>
      </c>
      <c r="K48" s="5" t="n">
        <v>4</v>
      </c>
      <c r="L48" s="5" t="n">
        <v>6</v>
      </c>
      <c r="M48" s="5" t="s">
        <v>717</v>
      </c>
      <c r="N48" s="5" t="s">
        <v>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80"/>
    <col collapsed="false" customWidth="true" hidden="false" outlineLevel="0" max="7" min="7" style="0" width="40"/>
    <col collapsed="false" customWidth="true" hidden="false" outlineLevel="0" max="9" min="8" style="0" width="16"/>
    <col collapsed="false" customWidth="true" hidden="false" outlineLevel="0" max="10" min="10" style="0" width="50"/>
  </cols>
  <sheetData>
    <row r="1" customFormat="false" ht="23.85" hidden="false" customHeight="false" outlineLevel="0" collapsed="false">
      <c r="A1" s="4" t="s">
        <v>10</v>
      </c>
      <c r="B1" s="4" t="s">
        <v>299</v>
      </c>
      <c r="C1" s="4" t="s">
        <v>719</v>
      </c>
      <c r="D1" s="4" t="s">
        <v>720</v>
      </c>
      <c r="E1" s="4" t="s">
        <v>721</v>
      </c>
      <c r="F1" s="4" t="s">
        <v>722</v>
      </c>
      <c r="G1" s="4" t="s">
        <v>723</v>
      </c>
      <c r="H1" s="4" t="s">
        <v>724</v>
      </c>
      <c r="I1" s="4" t="s">
        <v>725</v>
      </c>
      <c r="J1" s="4" t="s">
        <v>726</v>
      </c>
    </row>
    <row r="2" customFormat="false" ht="75" hidden="false" customHeight="true" outlineLevel="0" collapsed="false">
      <c r="A2" s="5" t="s">
        <v>727</v>
      </c>
      <c r="B2" s="5" t="s">
        <v>312</v>
      </c>
      <c r="C2" s="5" t="s">
        <v>728</v>
      </c>
      <c r="D2" s="5" t="s">
        <v>729</v>
      </c>
      <c r="E2" s="5" t="s">
        <v>730</v>
      </c>
      <c r="F2" s="5" t="s">
        <v>731</v>
      </c>
      <c r="G2" s="5" t="s">
        <v>732</v>
      </c>
      <c r="H2" s="5" t="s">
        <v>733</v>
      </c>
      <c r="I2" s="5" t="s">
        <v>734</v>
      </c>
      <c r="J2" s="5" t="s">
        <v>735</v>
      </c>
    </row>
    <row r="3" customFormat="false" ht="75" hidden="false" customHeight="true" outlineLevel="0" collapsed="false">
      <c r="A3" s="5" t="s">
        <v>736</v>
      </c>
      <c r="B3" s="5" t="s">
        <v>312</v>
      </c>
      <c r="C3" s="5" t="s">
        <v>737</v>
      </c>
      <c r="D3" s="5" t="s">
        <v>729</v>
      </c>
      <c r="E3" s="5" t="s">
        <v>730</v>
      </c>
      <c r="F3" s="5" t="s">
        <v>738</v>
      </c>
      <c r="G3" s="5" t="s">
        <v>739</v>
      </c>
      <c r="H3" s="5" t="s">
        <v>130</v>
      </c>
      <c r="I3" s="5" t="s">
        <v>734</v>
      </c>
      <c r="J3" s="5" t="s">
        <v>740</v>
      </c>
    </row>
    <row r="4" customFormat="false" ht="75" hidden="false" customHeight="true" outlineLevel="0" collapsed="false">
      <c r="A4" s="5" t="s">
        <v>741</v>
      </c>
      <c r="B4" s="5" t="s">
        <v>312</v>
      </c>
      <c r="C4" s="5" t="s">
        <v>742</v>
      </c>
      <c r="D4" s="5" t="s">
        <v>729</v>
      </c>
      <c r="E4" s="5" t="s">
        <v>730</v>
      </c>
      <c r="F4" s="5" t="s">
        <v>743</v>
      </c>
      <c r="G4" s="5" t="s">
        <v>744</v>
      </c>
      <c r="H4" s="5"/>
      <c r="I4" s="5" t="s">
        <v>745</v>
      </c>
      <c r="J4" s="5" t="s">
        <v>746</v>
      </c>
    </row>
    <row r="5" customFormat="false" ht="75" hidden="false" customHeight="true" outlineLevel="0" collapsed="false">
      <c r="A5" s="5" t="s">
        <v>747</v>
      </c>
      <c r="B5" s="5" t="s">
        <v>312</v>
      </c>
      <c r="C5" s="5" t="s">
        <v>748</v>
      </c>
      <c r="D5" s="5" t="s">
        <v>749</v>
      </c>
      <c r="E5" s="5" t="s">
        <v>750</v>
      </c>
      <c r="F5" s="5" t="s">
        <v>751</v>
      </c>
      <c r="G5" s="5" t="s">
        <v>752</v>
      </c>
      <c r="H5" s="5" t="s">
        <v>154</v>
      </c>
      <c r="I5" s="5" t="s">
        <v>753</v>
      </c>
      <c r="J5" s="5" t="s">
        <v>754</v>
      </c>
    </row>
    <row r="6" customFormat="false" ht="75" hidden="false" customHeight="true" outlineLevel="0" collapsed="false">
      <c r="A6" s="5" t="s">
        <v>755</v>
      </c>
      <c r="B6" s="5" t="s">
        <v>312</v>
      </c>
      <c r="C6" s="5" t="s">
        <v>756</v>
      </c>
      <c r="D6" s="5" t="s">
        <v>729</v>
      </c>
      <c r="E6" s="5" t="s">
        <v>730</v>
      </c>
      <c r="F6" s="5" t="s">
        <v>757</v>
      </c>
      <c r="G6" s="5" t="s">
        <v>758</v>
      </c>
      <c r="H6" s="5" t="s">
        <v>138</v>
      </c>
      <c r="I6" s="5" t="s">
        <v>753</v>
      </c>
      <c r="J6" s="5" t="s">
        <v>759</v>
      </c>
    </row>
    <row r="7" customFormat="false" ht="75" hidden="false" customHeight="true" outlineLevel="0" collapsed="false">
      <c r="A7" s="5" t="s">
        <v>760</v>
      </c>
      <c r="B7" s="5" t="s">
        <v>312</v>
      </c>
      <c r="C7" s="5" t="s">
        <v>761</v>
      </c>
      <c r="D7" s="5" t="s">
        <v>749</v>
      </c>
      <c r="E7" s="5" t="s">
        <v>762</v>
      </c>
      <c r="F7" s="5" t="s">
        <v>763</v>
      </c>
      <c r="G7" s="5" t="s">
        <v>764</v>
      </c>
      <c r="H7" s="5" t="s">
        <v>178</v>
      </c>
      <c r="I7" s="5" t="s">
        <v>745</v>
      </c>
      <c r="J7" s="5" t="s">
        <v>765</v>
      </c>
    </row>
    <row r="8" customFormat="false" ht="75" hidden="false" customHeight="true" outlineLevel="0" collapsed="false">
      <c r="A8" s="5" t="s">
        <v>766</v>
      </c>
      <c r="B8" s="5" t="s">
        <v>312</v>
      </c>
      <c r="C8" s="5" t="s">
        <v>767</v>
      </c>
      <c r="D8" s="5" t="s">
        <v>749</v>
      </c>
      <c r="E8" s="5" t="s">
        <v>762</v>
      </c>
      <c r="F8" s="5" t="s">
        <v>768</v>
      </c>
      <c r="G8" s="5" t="s">
        <v>769</v>
      </c>
      <c r="H8" s="5"/>
      <c r="I8" s="5" t="s">
        <v>745</v>
      </c>
      <c r="J8" s="5" t="s">
        <v>765</v>
      </c>
    </row>
    <row r="9" customFormat="false" ht="75" hidden="false" customHeight="true" outlineLevel="0" collapsed="false">
      <c r="A9" s="5" t="s">
        <v>770</v>
      </c>
      <c r="B9" s="5" t="s">
        <v>312</v>
      </c>
      <c r="C9" s="5" t="s">
        <v>771</v>
      </c>
      <c r="D9" s="5" t="s">
        <v>772</v>
      </c>
      <c r="E9" s="5" t="s">
        <v>762</v>
      </c>
      <c r="F9" s="5" t="s">
        <v>773</v>
      </c>
      <c r="G9" s="5" t="s">
        <v>774</v>
      </c>
      <c r="H9" s="5"/>
      <c r="I9" s="5" t="s">
        <v>745</v>
      </c>
      <c r="J9" s="5" t="s">
        <v>775</v>
      </c>
    </row>
    <row r="10" customFormat="false" ht="75" hidden="false" customHeight="true" outlineLevel="0" collapsed="false">
      <c r="A10" s="5" t="s">
        <v>776</v>
      </c>
      <c r="B10" s="5" t="s">
        <v>312</v>
      </c>
      <c r="C10" s="5" t="s">
        <v>777</v>
      </c>
      <c r="D10" s="5" t="s">
        <v>772</v>
      </c>
      <c r="E10" s="5" t="s">
        <v>762</v>
      </c>
      <c r="F10" s="5" t="s">
        <v>778</v>
      </c>
      <c r="G10" s="5" t="s">
        <v>779</v>
      </c>
      <c r="H10" s="5"/>
      <c r="I10" s="5" t="s">
        <v>745</v>
      </c>
      <c r="J10" s="5" t="s">
        <v>765</v>
      </c>
    </row>
    <row r="11" customFormat="false" ht="75" hidden="false" customHeight="true" outlineLevel="0" collapsed="false">
      <c r="A11" s="5" t="s">
        <v>780</v>
      </c>
      <c r="B11" s="5" t="s">
        <v>312</v>
      </c>
      <c r="C11" s="5" t="s">
        <v>781</v>
      </c>
      <c r="D11" s="5" t="s">
        <v>772</v>
      </c>
      <c r="E11" s="5" t="s">
        <v>782</v>
      </c>
      <c r="F11" s="5" t="s">
        <v>783</v>
      </c>
      <c r="G11" s="5" t="s">
        <v>784</v>
      </c>
      <c r="H11" s="5"/>
      <c r="I11" s="5" t="s">
        <v>785</v>
      </c>
      <c r="J11" s="5" t="s">
        <v>786</v>
      </c>
    </row>
    <row r="12" customFormat="false" ht="75" hidden="false" customHeight="true" outlineLevel="0" collapsed="false">
      <c r="A12" s="5" t="s">
        <v>787</v>
      </c>
      <c r="B12" s="5" t="s">
        <v>312</v>
      </c>
      <c r="C12" s="5" t="s">
        <v>788</v>
      </c>
      <c r="D12" s="5" t="s">
        <v>749</v>
      </c>
      <c r="E12" s="5" t="s">
        <v>789</v>
      </c>
      <c r="F12" s="5" t="s">
        <v>790</v>
      </c>
      <c r="G12" s="5" t="s">
        <v>791</v>
      </c>
      <c r="H12" s="5" t="s">
        <v>792</v>
      </c>
      <c r="I12" s="5" t="s">
        <v>753</v>
      </c>
      <c r="J12" s="5" t="s">
        <v>793</v>
      </c>
    </row>
    <row r="13" customFormat="false" ht="75" hidden="false" customHeight="true" outlineLevel="0" collapsed="false">
      <c r="A13" s="5" t="s">
        <v>794</v>
      </c>
      <c r="B13" s="5" t="s">
        <v>312</v>
      </c>
      <c r="C13" s="5" t="s">
        <v>795</v>
      </c>
      <c r="D13" s="5" t="s">
        <v>749</v>
      </c>
      <c r="E13" s="5" t="s">
        <v>789</v>
      </c>
      <c r="F13" s="5" t="s">
        <v>796</v>
      </c>
      <c r="G13" s="5" t="s">
        <v>797</v>
      </c>
      <c r="H13" s="5" t="s">
        <v>798</v>
      </c>
      <c r="I13" s="5" t="s">
        <v>734</v>
      </c>
      <c r="J13" s="5" t="s">
        <v>799</v>
      </c>
    </row>
    <row r="14" customFormat="false" ht="75" hidden="false" customHeight="true" outlineLevel="0" collapsed="false">
      <c r="A14" s="5" t="s">
        <v>800</v>
      </c>
      <c r="B14" s="5" t="s">
        <v>312</v>
      </c>
      <c r="C14" s="5" t="s">
        <v>801</v>
      </c>
      <c r="D14" s="5" t="s">
        <v>729</v>
      </c>
      <c r="E14" s="5" t="s">
        <v>802</v>
      </c>
      <c r="F14" s="5" t="s">
        <v>803</v>
      </c>
      <c r="G14" s="5" t="s">
        <v>804</v>
      </c>
      <c r="H14" s="5" t="s">
        <v>162</v>
      </c>
      <c r="I14" s="5" t="s">
        <v>734</v>
      </c>
      <c r="J14" s="5" t="s">
        <v>805</v>
      </c>
    </row>
    <row r="15" customFormat="false" ht="75" hidden="false" customHeight="true" outlineLevel="0" collapsed="false">
      <c r="A15" s="5" t="s">
        <v>806</v>
      </c>
      <c r="B15" s="5" t="s">
        <v>312</v>
      </c>
      <c r="C15" s="5" t="s">
        <v>807</v>
      </c>
      <c r="D15" s="5" t="s">
        <v>729</v>
      </c>
      <c r="E15" s="5" t="s">
        <v>789</v>
      </c>
      <c r="F15" s="5" t="s">
        <v>808</v>
      </c>
      <c r="G15" s="5" t="s">
        <v>809</v>
      </c>
      <c r="H15" s="5" t="s">
        <v>266</v>
      </c>
      <c r="I15" s="5" t="s">
        <v>753</v>
      </c>
      <c r="J15" s="5" t="s">
        <v>810</v>
      </c>
    </row>
    <row r="16" customFormat="false" ht="75" hidden="false" customHeight="true" outlineLevel="0" collapsed="false">
      <c r="A16" s="5" t="s">
        <v>811</v>
      </c>
      <c r="B16" s="5" t="s">
        <v>312</v>
      </c>
      <c r="C16" s="5" t="s">
        <v>812</v>
      </c>
      <c r="D16" s="5" t="s">
        <v>729</v>
      </c>
      <c r="E16" s="5" t="s">
        <v>782</v>
      </c>
      <c r="F16" s="5" t="s">
        <v>813</v>
      </c>
      <c r="G16" s="5" t="s">
        <v>814</v>
      </c>
      <c r="H16" s="5" t="s">
        <v>815</v>
      </c>
      <c r="I16" s="5" t="s">
        <v>753</v>
      </c>
      <c r="J16" s="5" t="s">
        <v>816</v>
      </c>
    </row>
    <row r="17" customFormat="false" ht="75" hidden="false" customHeight="true" outlineLevel="0" collapsed="false">
      <c r="A17" s="5" t="s">
        <v>817</v>
      </c>
      <c r="B17" s="5" t="s">
        <v>312</v>
      </c>
      <c r="C17" s="5" t="s">
        <v>818</v>
      </c>
      <c r="D17" s="5" t="s">
        <v>772</v>
      </c>
      <c r="E17" s="5" t="s">
        <v>782</v>
      </c>
      <c r="F17" s="5" t="s">
        <v>819</v>
      </c>
      <c r="G17" s="5" t="s">
        <v>820</v>
      </c>
      <c r="H17" s="5"/>
      <c r="I17" s="5" t="s">
        <v>745</v>
      </c>
      <c r="J17" s="5" t="s">
        <v>821</v>
      </c>
    </row>
    <row r="18" customFormat="false" ht="75" hidden="false" customHeight="true" outlineLevel="0" collapsed="false">
      <c r="A18" s="5" t="s">
        <v>822</v>
      </c>
      <c r="B18" s="5" t="s">
        <v>312</v>
      </c>
      <c r="C18" s="5" t="s">
        <v>823</v>
      </c>
      <c r="D18" s="5" t="s">
        <v>729</v>
      </c>
      <c r="E18" s="5" t="s">
        <v>750</v>
      </c>
      <c r="F18" s="5" t="s">
        <v>824</v>
      </c>
      <c r="G18" s="5" t="s">
        <v>825</v>
      </c>
      <c r="H18" s="5"/>
      <c r="I18" s="5" t="s">
        <v>785</v>
      </c>
      <c r="J18" s="5" t="s">
        <v>826</v>
      </c>
    </row>
    <row r="19" customFormat="false" ht="75" hidden="false" customHeight="true" outlineLevel="0" collapsed="false">
      <c r="A19" s="5" t="s">
        <v>827</v>
      </c>
      <c r="B19" s="5" t="s">
        <v>312</v>
      </c>
      <c r="C19" s="5" t="s">
        <v>828</v>
      </c>
      <c r="D19" s="5" t="s">
        <v>729</v>
      </c>
      <c r="E19" s="5" t="s">
        <v>750</v>
      </c>
      <c r="F19" s="5" t="s">
        <v>829</v>
      </c>
      <c r="G19" s="5" t="s">
        <v>830</v>
      </c>
      <c r="H19" s="5" t="s">
        <v>831</v>
      </c>
      <c r="I19" s="5" t="s">
        <v>753</v>
      </c>
      <c r="J19" s="5" t="s">
        <v>832</v>
      </c>
    </row>
    <row r="20" customFormat="false" ht="75" hidden="false" customHeight="true" outlineLevel="0" collapsed="false">
      <c r="A20" s="5" t="s">
        <v>833</v>
      </c>
      <c r="B20" s="5" t="s">
        <v>321</v>
      </c>
      <c r="C20" s="5" t="s">
        <v>834</v>
      </c>
      <c r="D20" s="5" t="s">
        <v>729</v>
      </c>
      <c r="E20" s="5" t="s">
        <v>730</v>
      </c>
      <c r="F20" s="5" t="s">
        <v>835</v>
      </c>
      <c r="G20" s="5" t="s">
        <v>836</v>
      </c>
      <c r="H20" s="5"/>
      <c r="I20" s="5" t="s">
        <v>745</v>
      </c>
      <c r="J20" s="5" t="s">
        <v>837</v>
      </c>
    </row>
    <row r="21" customFormat="false" ht="75" hidden="false" customHeight="true" outlineLevel="0" collapsed="false">
      <c r="A21" s="5" t="s">
        <v>838</v>
      </c>
      <c r="B21" s="5" t="s">
        <v>321</v>
      </c>
      <c r="C21" s="5" t="s">
        <v>839</v>
      </c>
      <c r="D21" s="5" t="s">
        <v>729</v>
      </c>
      <c r="E21" s="5" t="s">
        <v>750</v>
      </c>
      <c r="F21" s="5" t="s">
        <v>840</v>
      </c>
      <c r="G21" s="5" t="s">
        <v>841</v>
      </c>
      <c r="H21" s="5"/>
      <c r="I21" s="5" t="s">
        <v>745</v>
      </c>
      <c r="J21" s="5" t="s">
        <v>842</v>
      </c>
    </row>
    <row r="22" customFormat="false" ht="75" hidden="false" customHeight="true" outlineLevel="0" collapsed="false">
      <c r="A22" s="5" t="s">
        <v>843</v>
      </c>
      <c r="B22" s="5" t="s">
        <v>321</v>
      </c>
      <c r="C22" s="5" t="s">
        <v>844</v>
      </c>
      <c r="D22" s="5" t="s">
        <v>729</v>
      </c>
      <c r="E22" s="5" t="s">
        <v>782</v>
      </c>
      <c r="F22" s="5" t="s">
        <v>845</v>
      </c>
      <c r="G22" s="5" t="s">
        <v>846</v>
      </c>
      <c r="H22" s="5" t="s">
        <v>23</v>
      </c>
      <c r="I22" s="5" t="s">
        <v>734</v>
      </c>
      <c r="J22" s="5" t="s">
        <v>847</v>
      </c>
    </row>
    <row r="23" customFormat="false" ht="75" hidden="false" customHeight="true" outlineLevel="0" collapsed="false">
      <c r="A23" s="5" t="s">
        <v>848</v>
      </c>
      <c r="B23" s="5" t="s">
        <v>321</v>
      </c>
      <c r="C23" s="5" t="s">
        <v>849</v>
      </c>
      <c r="D23" s="5" t="s">
        <v>749</v>
      </c>
      <c r="E23" s="5" t="s">
        <v>782</v>
      </c>
      <c r="F23" s="5" t="s">
        <v>850</v>
      </c>
      <c r="G23" s="5" t="s">
        <v>851</v>
      </c>
      <c r="H23" s="5"/>
      <c r="I23" s="5" t="s">
        <v>734</v>
      </c>
      <c r="J23" s="5" t="s">
        <v>852</v>
      </c>
    </row>
    <row r="24" customFormat="false" ht="75" hidden="false" customHeight="true" outlineLevel="0" collapsed="false">
      <c r="A24" s="5" t="s">
        <v>853</v>
      </c>
      <c r="B24" s="5" t="s">
        <v>321</v>
      </c>
      <c r="C24" s="5" t="s">
        <v>854</v>
      </c>
      <c r="D24" s="5" t="s">
        <v>749</v>
      </c>
      <c r="E24" s="5" t="s">
        <v>782</v>
      </c>
      <c r="F24" s="5" t="s">
        <v>855</v>
      </c>
      <c r="G24" s="5" t="s">
        <v>856</v>
      </c>
      <c r="H24" s="5" t="s">
        <v>49</v>
      </c>
      <c r="I24" s="5" t="s">
        <v>734</v>
      </c>
      <c r="J24" s="5" t="s">
        <v>857</v>
      </c>
    </row>
    <row r="25" customFormat="false" ht="75" hidden="false" customHeight="true" outlineLevel="0" collapsed="false">
      <c r="A25" s="5" t="s">
        <v>858</v>
      </c>
      <c r="B25" s="5" t="s">
        <v>321</v>
      </c>
      <c r="C25" s="5" t="s">
        <v>859</v>
      </c>
      <c r="D25" s="5" t="s">
        <v>772</v>
      </c>
      <c r="E25" s="5" t="s">
        <v>782</v>
      </c>
      <c r="F25" s="5" t="s">
        <v>860</v>
      </c>
      <c r="G25" s="5" t="s">
        <v>861</v>
      </c>
      <c r="H25" s="5"/>
      <c r="I25" s="5" t="s">
        <v>734</v>
      </c>
      <c r="J25" s="5" t="s">
        <v>862</v>
      </c>
    </row>
    <row r="26" customFormat="false" ht="75" hidden="false" customHeight="true" outlineLevel="0" collapsed="false">
      <c r="A26" s="5" t="s">
        <v>863</v>
      </c>
      <c r="B26" s="5" t="s">
        <v>321</v>
      </c>
      <c r="C26" s="5" t="s">
        <v>864</v>
      </c>
      <c r="D26" s="5" t="s">
        <v>772</v>
      </c>
      <c r="E26" s="5" t="s">
        <v>782</v>
      </c>
      <c r="F26" s="5" t="s">
        <v>865</v>
      </c>
      <c r="G26" s="5" t="s">
        <v>861</v>
      </c>
      <c r="H26" s="5"/>
      <c r="I26" s="5" t="s">
        <v>745</v>
      </c>
      <c r="J26" s="5" t="s">
        <v>765</v>
      </c>
    </row>
    <row r="27" customFormat="false" ht="75" hidden="false" customHeight="true" outlineLevel="0" collapsed="false">
      <c r="A27" s="5" t="s">
        <v>866</v>
      </c>
      <c r="B27" s="5" t="s">
        <v>321</v>
      </c>
      <c r="C27" s="5" t="s">
        <v>867</v>
      </c>
      <c r="D27" s="5" t="s">
        <v>772</v>
      </c>
      <c r="E27" s="5" t="s">
        <v>782</v>
      </c>
      <c r="F27" s="5" t="s">
        <v>868</v>
      </c>
      <c r="G27" s="5" t="s">
        <v>861</v>
      </c>
      <c r="H27" s="5"/>
      <c r="I27" s="5" t="s">
        <v>745</v>
      </c>
      <c r="J27" s="5" t="s">
        <v>869</v>
      </c>
    </row>
    <row r="28" customFormat="false" ht="75" hidden="false" customHeight="true" outlineLevel="0" collapsed="false">
      <c r="A28" s="5" t="s">
        <v>870</v>
      </c>
      <c r="B28" s="5" t="s">
        <v>321</v>
      </c>
      <c r="C28" s="5" t="s">
        <v>871</v>
      </c>
      <c r="D28" s="5" t="s">
        <v>729</v>
      </c>
      <c r="E28" s="5" t="s">
        <v>730</v>
      </c>
      <c r="F28" s="5" t="s">
        <v>872</v>
      </c>
      <c r="G28" s="5" t="s">
        <v>873</v>
      </c>
      <c r="H28" s="5" t="s">
        <v>130</v>
      </c>
      <c r="I28" s="5" t="s">
        <v>745</v>
      </c>
      <c r="J28" s="5" t="s">
        <v>874</v>
      </c>
    </row>
    <row r="29" customFormat="false" ht="75" hidden="false" customHeight="true" outlineLevel="0" collapsed="false">
      <c r="A29" s="5" t="s">
        <v>875</v>
      </c>
      <c r="B29" s="5" t="s">
        <v>321</v>
      </c>
      <c r="C29" s="5" t="s">
        <v>876</v>
      </c>
      <c r="D29" s="5" t="s">
        <v>729</v>
      </c>
      <c r="E29" s="5" t="s">
        <v>730</v>
      </c>
      <c r="F29" s="5" t="s">
        <v>877</v>
      </c>
      <c r="G29" s="5" t="s">
        <v>878</v>
      </c>
      <c r="H29" s="5"/>
      <c r="I29" s="5" t="s">
        <v>745</v>
      </c>
      <c r="J29" s="5" t="s">
        <v>879</v>
      </c>
    </row>
    <row r="30" customFormat="false" ht="75" hidden="false" customHeight="true" outlineLevel="0" collapsed="false">
      <c r="A30" s="5" t="s">
        <v>880</v>
      </c>
      <c r="B30" s="5" t="s">
        <v>321</v>
      </c>
      <c r="C30" s="5" t="s">
        <v>881</v>
      </c>
      <c r="D30" s="5" t="s">
        <v>729</v>
      </c>
      <c r="E30" s="5" t="s">
        <v>730</v>
      </c>
      <c r="F30" s="5" t="s">
        <v>882</v>
      </c>
      <c r="G30" s="5" t="s">
        <v>883</v>
      </c>
      <c r="H30" s="5" t="s">
        <v>884</v>
      </c>
      <c r="I30" s="5" t="s">
        <v>734</v>
      </c>
      <c r="J30" s="5" t="s">
        <v>885</v>
      </c>
    </row>
    <row r="31" customFormat="false" ht="75" hidden="false" customHeight="true" outlineLevel="0" collapsed="false">
      <c r="A31" s="5" t="s">
        <v>886</v>
      </c>
      <c r="B31" s="5" t="s">
        <v>321</v>
      </c>
      <c r="C31" s="5" t="s">
        <v>887</v>
      </c>
      <c r="D31" s="5" t="s">
        <v>772</v>
      </c>
      <c r="E31" s="5" t="s">
        <v>888</v>
      </c>
      <c r="F31" s="5" t="s">
        <v>889</v>
      </c>
      <c r="G31" s="5" t="s">
        <v>325</v>
      </c>
      <c r="H31" s="5"/>
      <c r="I31" s="5" t="s">
        <v>745</v>
      </c>
      <c r="J31" s="5" t="s">
        <v>890</v>
      </c>
    </row>
    <row r="32" customFormat="false" ht="75" hidden="false" customHeight="true" outlineLevel="0" collapsed="false">
      <c r="A32" s="5" t="s">
        <v>891</v>
      </c>
      <c r="B32" s="5" t="s">
        <v>321</v>
      </c>
      <c r="C32" s="5" t="s">
        <v>892</v>
      </c>
      <c r="D32" s="5" t="s">
        <v>749</v>
      </c>
      <c r="E32" s="5" t="s">
        <v>730</v>
      </c>
      <c r="F32" s="5" t="s">
        <v>893</v>
      </c>
      <c r="G32" s="5" t="s">
        <v>894</v>
      </c>
      <c r="H32" s="5" t="s">
        <v>202</v>
      </c>
      <c r="I32" s="5" t="s">
        <v>753</v>
      </c>
      <c r="J32" s="5" t="s">
        <v>895</v>
      </c>
    </row>
    <row r="33" customFormat="false" ht="75" hidden="false" customHeight="true" outlineLevel="0" collapsed="false">
      <c r="A33" s="5" t="s">
        <v>896</v>
      </c>
      <c r="B33" s="5" t="s">
        <v>321</v>
      </c>
      <c r="C33" s="5" t="s">
        <v>897</v>
      </c>
      <c r="D33" s="5" t="s">
        <v>772</v>
      </c>
      <c r="E33" s="5" t="s">
        <v>888</v>
      </c>
      <c r="F33" s="5" t="s">
        <v>898</v>
      </c>
      <c r="G33" s="5" t="s">
        <v>325</v>
      </c>
      <c r="H33" s="5" t="s">
        <v>899</v>
      </c>
      <c r="I33" s="5" t="s">
        <v>753</v>
      </c>
      <c r="J33" s="5" t="s">
        <v>900</v>
      </c>
    </row>
    <row r="34" customFormat="false" ht="75" hidden="false" customHeight="true" outlineLevel="0" collapsed="false">
      <c r="A34" s="5" t="s">
        <v>901</v>
      </c>
      <c r="B34" s="5" t="s">
        <v>321</v>
      </c>
      <c r="C34" s="5" t="s">
        <v>902</v>
      </c>
      <c r="D34" s="5" t="s">
        <v>749</v>
      </c>
      <c r="E34" s="5" t="s">
        <v>782</v>
      </c>
      <c r="F34" s="5" t="s">
        <v>903</v>
      </c>
      <c r="G34" s="5" t="s">
        <v>904</v>
      </c>
      <c r="H34" s="5" t="s">
        <v>178</v>
      </c>
      <c r="I34" s="5" t="s">
        <v>745</v>
      </c>
      <c r="J34" s="5" t="s">
        <v>765</v>
      </c>
    </row>
    <row r="35" customFormat="false" ht="75" hidden="false" customHeight="true" outlineLevel="0" collapsed="false">
      <c r="A35" s="5" t="s">
        <v>905</v>
      </c>
      <c r="B35" s="5" t="s">
        <v>321</v>
      </c>
      <c r="C35" s="5" t="s">
        <v>906</v>
      </c>
      <c r="D35" s="5" t="s">
        <v>772</v>
      </c>
      <c r="E35" s="5" t="s">
        <v>782</v>
      </c>
      <c r="F35" s="5" t="s">
        <v>907</v>
      </c>
      <c r="G35" s="5" t="s">
        <v>904</v>
      </c>
      <c r="H35" s="5"/>
      <c r="I35" s="5" t="s">
        <v>734</v>
      </c>
      <c r="J35" s="5" t="s">
        <v>908</v>
      </c>
    </row>
    <row r="36" customFormat="false" ht="75" hidden="false" customHeight="true" outlineLevel="0" collapsed="false">
      <c r="A36" s="5" t="s">
        <v>909</v>
      </c>
      <c r="B36" s="5" t="s">
        <v>321</v>
      </c>
      <c r="C36" s="5" t="s">
        <v>910</v>
      </c>
      <c r="D36" s="5" t="s">
        <v>772</v>
      </c>
      <c r="E36" s="5" t="s">
        <v>762</v>
      </c>
      <c r="F36" s="5" t="s">
        <v>911</v>
      </c>
      <c r="G36" s="5" t="s">
        <v>904</v>
      </c>
      <c r="H36" s="5"/>
      <c r="I36" s="5" t="s">
        <v>734</v>
      </c>
      <c r="J36" s="5" t="s">
        <v>912</v>
      </c>
    </row>
    <row r="37" customFormat="false" ht="75" hidden="false" customHeight="true" outlineLevel="0" collapsed="false">
      <c r="A37" s="5" t="s">
        <v>913</v>
      </c>
      <c r="B37" s="5" t="s">
        <v>321</v>
      </c>
      <c r="C37" s="5" t="s">
        <v>914</v>
      </c>
      <c r="D37" s="5" t="s">
        <v>772</v>
      </c>
      <c r="E37" s="5" t="s">
        <v>762</v>
      </c>
      <c r="F37" s="5" t="s">
        <v>915</v>
      </c>
      <c r="G37" s="5" t="s">
        <v>325</v>
      </c>
      <c r="H37" s="5"/>
      <c r="I37" s="5" t="s">
        <v>734</v>
      </c>
      <c r="J37" s="5" t="s">
        <v>916</v>
      </c>
    </row>
    <row r="38" customFormat="false" ht="75" hidden="false" customHeight="true" outlineLevel="0" collapsed="false">
      <c r="A38" s="5" t="s">
        <v>917</v>
      </c>
      <c r="B38" s="5" t="s">
        <v>321</v>
      </c>
      <c r="C38" s="5" t="s">
        <v>918</v>
      </c>
      <c r="D38" s="5" t="s">
        <v>772</v>
      </c>
      <c r="E38" s="5" t="s">
        <v>782</v>
      </c>
      <c r="F38" s="5" t="s">
        <v>919</v>
      </c>
      <c r="G38" s="5" t="s">
        <v>920</v>
      </c>
      <c r="H38" s="5"/>
      <c r="I38" s="5" t="s">
        <v>785</v>
      </c>
      <c r="J38" s="5" t="s">
        <v>921</v>
      </c>
    </row>
    <row r="39" customFormat="false" ht="75" hidden="false" customHeight="true" outlineLevel="0" collapsed="false">
      <c r="A39" s="5" t="s">
        <v>922</v>
      </c>
      <c r="B39" s="5" t="s">
        <v>321</v>
      </c>
      <c r="C39" s="5" t="s">
        <v>923</v>
      </c>
      <c r="D39" s="5" t="s">
        <v>772</v>
      </c>
      <c r="E39" s="5" t="s">
        <v>924</v>
      </c>
      <c r="F39" s="5" t="s">
        <v>925</v>
      </c>
      <c r="G39" s="5" t="s">
        <v>926</v>
      </c>
      <c r="H39" s="5" t="s">
        <v>258</v>
      </c>
      <c r="I39" s="5" t="s">
        <v>734</v>
      </c>
      <c r="J39" s="5" t="s">
        <v>927</v>
      </c>
    </row>
    <row r="40" customFormat="false" ht="75" hidden="false" customHeight="true" outlineLevel="0" collapsed="false">
      <c r="A40" s="5" t="s">
        <v>928</v>
      </c>
      <c r="B40" s="5" t="s">
        <v>321</v>
      </c>
      <c r="C40" s="5" t="s">
        <v>929</v>
      </c>
      <c r="D40" s="5" t="s">
        <v>749</v>
      </c>
      <c r="E40" s="5" t="s">
        <v>789</v>
      </c>
      <c r="F40" s="5" t="s">
        <v>930</v>
      </c>
      <c r="G40" s="5" t="s">
        <v>931</v>
      </c>
      <c r="H40" s="5"/>
      <c r="I40" s="5" t="s">
        <v>753</v>
      </c>
      <c r="J40" s="5" t="s">
        <v>932</v>
      </c>
    </row>
    <row r="41" customFormat="false" ht="75" hidden="false" customHeight="true" outlineLevel="0" collapsed="false">
      <c r="A41" s="5" t="s">
        <v>933</v>
      </c>
      <c r="B41" s="5" t="s">
        <v>321</v>
      </c>
      <c r="C41" s="5" t="s">
        <v>934</v>
      </c>
      <c r="D41" s="5" t="s">
        <v>729</v>
      </c>
      <c r="E41" s="5" t="s">
        <v>924</v>
      </c>
      <c r="F41" s="5" t="s">
        <v>935</v>
      </c>
      <c r="G41" s="5" t="s">
        <v>936</v>
      </c>
      <c r="H41" s="5" t="s">
        <v>138</v>
      </c>
      <c r="I41" s="5" t="s">
        <v>753</v>
      </c>
      <c r="J41" s="5" t="s">
        <v>937</v>
      </c>
    </row>
    <row r="42" customFormat="false" ht="75" hidden="false" customHeight="true" outlineLevel="0" collapsed="false">
      <c r="A42" s="5" t="s">
        <v>938</v>
      </c>
      <c r="B42" s="5" t="s">
        <v>330</v>
      </c>
      <c r="C42" s="5" t="s">
        <v>939</v>
      </c>
      <c r="D42" s="5" t="s">
        <v>729</v>
      </c>
      <c r="E42" s="5" t="s">
        <v>730</v>
      </c>
      <c r="F42" s="5" t="s">
        <v>940</v>
      </c>
      <c r="G42" s="5" t="s">
        <v>941</v>
      </c>
      <c r="H42" s="5" t="s">
        <v>170</v>
      </c>
      <c r="I42" s="5" t="s">
        <v>745</v>
      </c>
      <c r="J42" s="5" t="s">
        <v>942</v>
      </c>
    </row>
    <row r="43" customFormat="false" ht="75" hidden="false" customHeight="true" outlineLevel="0" collapsed="false">
      <c r="A43" s="5" t="s">
        <v>943</v>
      </c>
      <c r="B43" s="5" t="s">
        <v>330</v>
      </c>
      <c r="C43" s="5" t="s">
        <v>944</v>
      </c>
      <c r="D43" s="5" t="s">
        <v>729</v>
      </c>
      <c r="E43" s="5" t="s">
        <v>750</v>
      </c>
      <c r="F43" s="5" t="s">
        <v>945</v>
      </c>
      <c r="G43" s="5" t="s">
        <v>946</v>
      </c>
      <c r="H43" s="5"/>
      <c r="I43" s="5" t="s">
        <v>745</v>
      </c>
      <c r="J43" s="5" t="s">
        <v>947</v>
      </c>
    </row>
    <row r="44" customFormat="false" ht="75" hidden="false" customHeight="true" outlineLevel="0" collapsed="false">
      <c r="A44" s="5" t="s">
        <v>948</v>
      </c>
      <c r="B44" s="5" t="s">
        <v>330</v>
      </c>
      <c r="C44" s="5" t="s">
        <v>949</v>
      </c>
      <c r="D44" s="5" t="s">
        <v>729</v>
      </c>
      <c r="E44" s="5" t="s">
        <v>762</v>
      </c>
      <c r="F44" s="5" t="s">
        <v>950</v>
      </c>
      <c r="G44" s="5" t="s">
        <v>951</v>
      </c>
      <c r="H44" s="5" t="s">
        <v>178</v>
      </c>
      <c r="I44" s="5" t="s">
        <v>745</v>
      </c>
      <c r="J44" s="5" t="s">
        <v>765</v>
      </c>
    </row>
    <row r="45" customFormat="false" ht="75" hidden="false" customHeight="true" outlineLevel="0" collapsed="false">
      <c r="A45" s="5" t="s">
        <v>952</v>
      </c>
      <c r="B45" s="5" t="s">
        <v>330</v>
      </c>
      <c r="C45" s="5" t="s">
        <v>953</v>
      </c>
      <c r="D45" s="5" t="s">
        <v>729</v>
      </c>
      <c r="E45" s="5" t="s">
        <v>888</v>
      </c>
      <c r="F45" s="5" t="s">
        <v>954</v>
      </c>
      <c r="G45" s="5" t="s">
        <v>955</v>
      </c>
      <c r="H45" s="5" t="s">
        <v>956</v>
      </c>
      <c r="I45" s="5" t="s">
        <v>745</v>
      </c>
      <c r="J45" s="5" t="s">
        <v>957</v>
      </c>
    </row>
    <row r="46" customFormat="false" ht="75" hidden="false" customHeight="true" outlineLevel="0" collapsed="false">
      <c r="A46" s="5" t="s">
        <v>958</v>
      </c>
      <c r="B46" s="5" t="s">
        <v>330</v>
      </c>
      <c r="C46" s="5" t="s">
        <v>959</v>
      </c>
      <c r="D46" s="5" t="s">
        <v>729</v>
      </c>
      <c r="E46" s="5" t="s">
        <v>750</v>
      </c>
      <c r="F46" s="5" t="s">
        <v>960</v>
      </c>
      <c r="G46" s="5" t="s">
        <v>961</v>
      </c>
      <c r="H46" s="5" t="s">
        <v>962</v>
      </c>
      <c r="I46" s="5" t="s">
        <v>734</v>
      </c>
      <c r="J46" s="5" t="s">
        <v>963</v>
      </c>
    </row>
    <row r="47" customFormat="false" ht="75" hidden="false" customHeight="true" outlineLevel="0" collapsed="false">
      <c r="A47" s="5" t="s">
        <v>964</v>
      </c>
      <c r="B47" s="5" t="s">
        <v>330</v>
      </c>
      <c r="C47" s="5" t="s">
        <v>965</v>
      </c>
      <c r="D47" s="5" t="s">
        <v>772</v>
      </c>
      <c r="E47" s="5" t="s">
        <v>888</v>
      </c>
      <c r="F47" s="5" t="s">
        <v>966</v>
      </c>
      <c r="G47" s="5" t="s">
        <v>967</v>
      </c>
      <c r="H47" s="5"/>
      <c r="I47" s="5" t="s">
        <v>745</v>
      </c>
      <c r="J47" s="5" t="s">
        <v>968</v>
      </c>
    </row>
    <row r="48" customFormat="false" ht="75" hidden="false" customHeight="true" outlineLevel="0" collapsed="false">
      <c r="A48" s="5" t="s">
        <v>969</v>
      </c>
      <c r="B48" s="5" t="s">
        <v>330</v>
      </c>
      <c r="C48" s="5" t="s">
        <v>970</v>
      </c>
      <c r="D48" s="5" t="s">
        <v>749</v>
      </c>
      <c r="E48" s="5" t="s">
        <v>730</v>
      </c>
      <c r="F48" s="5" t="s">
        <v>971</v>
      </c>
      <c r="G48" s="5" t="s">
        <v>972</v>
      </c>
      <c r="H48" s="5"/>
      <c r="I48" s="5" t="s">
        <v>734</v>
      </c>
      <c r="J48" s="5" t="s">
        <v>973</v>
      </c>
    </row>
    <row r="49" customFormat="false" ht="75" hidden="false" customHeight="true" outlineLevel="0" collapsed="false">
      <c r="A49" s="5" t="s">
        <v>974</v>
      </c>
      <c r="B49" s="5" t="s">
        <v>330</v>
      </c>
      <c r="C49" s="5" t="s">
        <v>975</v>
      </c>
      <c r="D49" s="5" t="s">
        <v>729</v>
      </c>
      <c r="E49" s="5" t="s">
        <v>924</v>
      </c>
      <c r="F49" s="5" t="s">
        <v>976</v>
      </c>
      <c r="G49" s="5" t="s">
        <v>941</v>
      </c>
      <c r="H49" s="5" t="s">
        <v>138</v>
      </c>
      <c r="I49" s="5" t="s">
        <v>753</v>
      </c>
      <c r="J49" s="5" t="s">
        <v>977</v>
      </c>
    </row>
    <row r="50" customFormat="false" ht="75" hidden="false" customHeight="true" outlineLevel="0" collapsed="false">
      <c r="A50" s="5" t="s">
        <v>978</v>
      </c>
      <c r="B50" s="5" t="s">
        <v>330</v>
      </c>
      <c r="C50" s="5" t="s">
        <v>979</v>
      </c>
      <c r="D50" s="5" t="s">
        <v>729</v>
      </c>
      <c r="E50" s="5" t="s">
        <v>924</v>
      </c>
      <c r="F50" s="5" t="s">
        <v>980</v>
      </c>
      <c r="G50" s="5" t="s">
        <v>981</v>
      </c>
      <c r="H50" s="5" t="s">
        <v>138</v>
      </c>
      <c r="I50" s="5" t="s">
        <v>753</v>
      </c>
      <c r="J50" s="5" t="s">
        <v>982</v>
      </c>
    </row>
    <row r="51" customFormat="false" ht="75" hidden="false" customHeight="true" outlineLevel="0" collapsed="false">
      <c r="A51" s="5" t="s">
        <v>983</v>
      </c>
      <c r="B51" s="5" t="s">
        <v>330</v>
      </c>
      <c r="C51" s="5" t="s">
        <v>984</v>
      </c>
      <c r="D51" s="5" t="s">
        <v>772</v>
      </c>
      <c r="E51" s="5" t="s">
        <v>782</v>
      </c>
      <c r="F51" s="5" t="s">
        <v>985</v>
      </c>
      <c r="G51" s="5" t="s">
        <v>967</v>
      </c>
      <c r="H51" s="5" t="s">
        <v>23</v>
      </c>
      <c r="I51" s="5" t="s">
        <v>734</v>
      </c>
      <c r="J51" s="5" t="s">
        <v>986</v>
      </c>
    </row>
    <row r="52" customFormat="false" ht="75" hidden="false" customHeight="true" outlineLevel="0" collapsed="false">
      <c r="A52" s="5" t="s">
        <v>987</v>
      </c>
      <c r="B52" s="5" t="s">
        <v>330</v>
      </c>
      <c r="C52" s="5" t="s">
        <v>988</v>
      </c>
      <c r="D52" s="5" t="s">
        <v>772</v>
      </c>
      <c r="E52" s="5" t="s">
        <v>782</v>
      </c>
      <c r="F52" s="5" t="s">
        <v>989</v>
      </c>
      <c r="G52" s="5" t="s">
        <v>967</v>
      </c>
      <c r="H52" s="5" t="s">
        <v>32</v>
      </c>
      <c r="I52" s="5" t="s">
        <v>734</v>
      </c>
      <c r="J52" s="5" t="s">
        <v>990</v>
      </c>
    </row>
    <row r="53" customFormat="false" ht="75" hidden="false" customHeight="true" outlineLevel="0" collapsed="false">
      <c r="A53" s="5" t="s">
        <v>991</v>
      </c>
      <c r="B53" s="5" t="s">
        <v>330</v>
      </c>
      <c r="C53" s="5" t="s">
        <v>992</v>
      </c>
      <c r="D53" s="5" t="s">
        <v>772</v>
      </c>
      <c r="E53" s="5" t="s">
        <v>782</v>
      </c>
      <c r="F53" s="5" t="s">
        <v>993</v>
      </c>
      <c r="G53" s="5" t="s">
        <v>967</v>
      </c>
      <c r="H53" s="5"/>
      <c r="I53" s="5" t="s">
        <v>734</v>
      </c>
      <c r="J53" s="5" t="s">
        <v>994</v>
      </c>
    </row>
    <row r="54" customFormat="false" ht="75" hidden="false" customHeight="true" outlineLevel="0" collapsed="false">
      <c r="A54" s="5" t="s">
        <v>995</v>
      </c>
      <c r="B54" s="5" t="s">
        <v>330</v>
      </c>
      <c r="C54" s="5" t="s">
        <v>996</v>
      </c>
      <c r="D54" s="5" t="s">
        <v>772</v>
      </c>
      <c r="E54" s="5" t="s">
        <v>782</v>
      </c>
      <c r="F54" s="5" t="s">
        <v>997</v>
      </c>
      <c r="G54" s="5" t="s">
        <v>967</v>
      </c>
      <c r="H54" s="5" t="s">
        <v>998</v>
      </c>
      <c r="I54" s="5" t="s">
        <v>734</v>
      </c>
      <c r="J54" s="5" t="s">
        <v>999</v>
      </c>
    </row>
    <row r="55" customFormat="false" ht="75" hidden="false" customHeight="true" outlineLevel="0" collapsed="false">
      <c r="A55" s="5" t="s">
        <v>1000</v>
      </c>
      <c r="B55" s="5" t="s">
        <v>330</v>
      </c>
      <c r="C55" s="5" t="s">
        <v>1001</v>
      </c>
      <c r="D55" s="5" t="s">
        <v>772</v>
      </c>
      <c r="E55" s="5" t="s">
        <v>762</v>
      </c>
      <c r="F55" s="5" t="s">
        <v>1002</v>
      </c>
      <c r="G55" s="5" t="s">
        <v>967</v>
      </c>
      <c r="H55" s="5" t="s">
        <v>1003</v>
      </c>
      <c r="I55" s="5" t="s">
        <v>734</v>
      </c>
      <c r="J55" s="5" t="s">
        <v>1004</v>
      </c>
    </row>
    <row r="56" customFormat="false" ht="75" hidden="false" customHeight="true" outlineLevel="0" collapsed="false">
      <c r="A56" s="5" t="s">
        <v>1005</v>
      </c>
      <c r="B56" s="5" t="s">
        <v>330</v>
      </c>
      <c r="C56" s="5" t="s">
        <v>1006</v>
      </c>
      <c r="D56" s="5" t="s">
        <v>749</v>
      </c>
      <c r="E56" s="5" t="s">
        <v>789</v>
      </c>
      <c r="F56" s="5" t="s">
        <v>1007</v>
      </c>
      <c r="G56" s="5" t="s">
        <v>1008</v>
      </c>
      <c r="H56" s="5"/>
      <c r="I56" s="5" t="s">
        <v>753</v>
      </c>
      <c r="J56" s="5" t="s">
        <v>1009</v>
      </c>
    </row>
    <row r="57" customFormat="false" ht="75" hidden="false" customHeight="true" outlineLevel="0" collapsed="false">
      <c r="A57" s="5" t="s">
        <v>1010</v>
      </c>
      <c r="B57" s="5" t="s">
        <v>330</v>
      </c>
      <c r="C57" s="5" t="s">
        <v>1011</v>
      </c>
      <c r="D57" s="5" t="s">
        <v>729</v>
      </c>
      <c r="E57" s="5" t="s">
        <v>750</v>
      </c>
      <c r="F57" s="5" t="s">
        <v>1012</v>
      </c>
      <c r="G57" s="5" t="s">
        <v>334</v>
      </c>
      <c r="H57" s="5"/>
      <c r="I57" s="5" t="s">
        <v>745</v>
      </c>
      <c r="J57" s="5" t="s">
        <v>1013</v>
      </c>
    </row>
    <row r="58" customFormat="false" ht="75" hidden="false" customHeight="true" outlineLevel="0" collapsed="false">
      <c r="A58" s="5" t="s">
        <v>1014</v>
      </c>
      <c r="B58" s="5" t="s">
        <v>339</v>
      </c>
      <c r="C58" s="5" t="s">
        <v>1015</v>
      </c>
      <c r="D58" s="5" t="s">
        <v>729</v>
      </c>
      <c r="E58" s="5" t="s">
        <v>730</v>
      </c>
      <c r="F58" s="5" t="s">
        <v>1016</v>
      </c>
      <c r="G58" s="5" t="s">
        <v>1017</v>
      </c>
      <c r="H58" s="5" t="s">
        <v>1018</v>
      </c>
      <c r="I58" s="5" t="s">
        <v>745</v>
      </c>
      <c r="J58" s="5" t="s">
        <v>1019</v>
      </c>
    </row>
    <row r="59" customFormat="false" ht="75" hidden="false" customHeight="true" outlineLevel="0" collapsed="false">
      <c r="A59" s="5" t="s">
        <v>1020</v>
      </c>
      <c r="B59" s="5" t="s">
        <v>339</v>
      </c>
      <c r="C59" s="5" t="s">
        <v>1021</v>
      </c>
      <c r="D59" s="5" t="s">
        <v>729</v>
      </c>
      <c r="E59" s="5" t="s">
        <v>750</v>
      </c>
      <c r="F59" s="5" t="s">
        <v>1022</v>
      </c>
      <c r="G59" s="5" t="s">
        <v>1017</v>
      </c>
      <c r="H59" s="5" t="s">
        <v>1023</v>
      </c>
      <c r="I59" s="5" t="s">
        <v>745</v>
      </c>
      <c r="J59" s="5" t="s">
        <v>1024</v>
      </c>
    </row>
    <row r="60" customFormat="false" ht="75" hidden="false" customHeight="true" outlineLevel="0" collapsed="false">
      <c r="A60" s="5" t="s">
        <v>1025</v>
      </c>
      <c r="B60" s="5" t="s">
        <v>339</v>
      </c>
      <c r="C60" s="5" t="s">
        <v>1026</v>
      </c>
      <c r="D60" s="5" t="s">
        <v>729</v>
      </c>
      <c r="E60" s="5" t="s">
        <v>924</v>
      </c>
      <c r="F60" s="5" t="s">
        <v>1027</v>
      </c>
      <c r="G60" s="5" t="s">
        <v>1017</v>
      </c>
      <c r="H60" s="5" t="s">
        <v>250</v>
      </c>
      <c r="I60" s="5" t="s">
        <v>734</v>
      </c>
      <c r="J60" s="5" t="s">
        <v>1028</v>
      </c>
    </row>
    <row r="61" customFormat="false" ht="75" hidden="false" customHeight="true" outlineLevel="0" collapsed="false">
      <c r="A61" s="5" t="s">
        <v>1029</v>
      </c>
      <c r="B61" s="5" t="s">
        <v>339</v>
      </c>
      <c r="C61" s="5" t="s">
        <v>1030</v>
      </c>
      <c r="D61" s="5" t="s">
        <v>729</v>
      </c>
      <c r="E61" s="5" t="s">
        <v>750</v>
      </c>
      <c r="F61" s="5" t="s">
        <v>1031</v>
      </c>
      <c r="G61" s="5" t="s">
        <v>1017</v>
      </c>
      <c r="H61" s="5"/>
      <c r="I61" s="5" t="s">
        <v>745</v>
      </c>
      <c r="J61" s="5" t="s">
        <v>1032</v>
      </c>
    </row>
    <row r="62" customFormat="false" ht="75" hidden="false" customHeight="true" outlineLevel="0" collapsed="false">
      <c r="A62" s="5" t="s">
        <v>1033</v>
      </c>
      <c r="B62" s="5" t="s">
        <v>339</v>
      </c>
      <c r="C62" s="5" t="s">
        <v>1034</v>
      </c>
      <c r="D62" s="5" t="s">
        <v>772</v>
      </c>
      <c r="E62" s="5" t="s">
        <v>762</v>
      </c>
      <c r="F62" s="5" t="s">
        <v>1035</v>
      </c>
      <c r="G62" s="5" t="s">
        <v>1036</v>
      </c>
      <c r="H62" s="5" t="s">
        <v>178</v>
      </c>
      <c r="I62" s="5" t="s">
        <v>745</v>
      </c>
      <c r="J62" s="5" t="s">
        <v>765</v>
      </c>
    </row>
    <row r="63" customFormat="false" ht="75" hidden="false" customHeight="true" outlineLevel="0" collapsed="false">
      <c r="A63" s="5" t="s">
        <v>1037</v>
      </c>
      <c r="B63" s="5" t="s">
        <v>339</v>
      </c>
      <c r="C63" s="5" t="s">
        <v>1038</v>
      </c>
      <c r="D63" s="5" t="s">
        <v>749</v>
      </c>
      <c r="E63" s="5" t="s">
        <v>782</v>
      </c>
      <c r="F63" s="5" t="s">
        <v>1039</v>
      </c>
      <c r="G63" s="5" t="s">
        <v>1040</v>
      </c>
      <c r="H63" s="5"/>
      <c r="I63" s="5" t="s">
        <v>745</v>
      </c>
      <c r="J63" s="5" t="s">
        <v>1041</v>
      </c>
    </row>
    <row r="64" customFormat="false" ht="75" hidden="false" customHeight="true" outlineLevel="0" collapsed="false">
      <c r="A64" s="5" t="s">
        <v>1042</v>
      </c>
      <c r="B64" s="5" t="s">
        <v>339</v>
      </c>
      <c r="C64" s="5" t="s">
        <v>1043</v>
      </c>
      <c r="D64" s="5" t="s">
        <v>772</v>
      </c>
      <c r="E64" s="5" t="s">
        <v>762</v>
      </c>
      <c r="F64" s="5" t="s">
        <v>1044</v>
      </c>
      <c r="G64" s="5" t="s">
        <v>1045</v>
      </c>
      <c r="H64" s="5"/>
      <c r="I64" s="5" t="s">
        <v>745</v>
      </c>
      <c r="J64" s="5" t="s">
        <v>765</v>
      </c>
    </row>
    <row r="65" customFormat="false" ht="75" hidden="false" customHeight="true" outlineLevel="0" collapsed="false">
      <c r="A65" s="5" t="s">
        <v>1046</v>
      </c>
      <c r="B65" s="5" t="s">
        <v>339</v>
      </c>
      <c r="C65" s="5" t="s">
        <v>1047</v>
      </c>
      <c r="D65" s="5" t="s">
        <v>772</v>
      </c>
      <c r="E65" s="5" t="s">
        <v>762</v>
      </c>
      <c r="F65" s="5" t="s">
        <v>1048</v>
      </c>
      <c r="G65" s="5" t="s">
        <v>1049</v>
      </c>
      <c r="H65" s="5" t="s">
        <v>49</v>
      </c>
      <c r="I65" s="5" t="s">
        <v>734</v>
      </c>
      <c r="J65" s="5" t="s">
        <v>1050</v>
      </c>
    </row>
    <row r="66" customFormat="false" ht="75" hidden="false" customHeight="true" outlineLevel="0" collapsed="false">
      <c r="A66" s="5" t="s">
        <v>1051</v>
      </c>
      <c r="B66" s="5" t="s">
        <v>339</v>
      </c>
      <c r="C66" s="5" t="s">
        <v>1052</v>
      </c>
      <c r="D66" s="5" t="s">
        <v>772</v>
      </c>
      <c r="E66" s="5" t="s">
        <v>762</v>
      </c>
      <c r="F66" s="5" t="s">
        <v>1053</v>
      </c>
      <c r="G66" s="5" t="s">
        <v>1054</v>
      </c>
      <c r="H66" s="5"/>
      <c r="I66" s="5" t="s">
        <v>734</v>
      </c>
      <c r="J66" s="5" t="s">
        <v>1055</v>
      </c>
    </row>
    <row r="67" customFormat="false" ht="75" hidden="false" customHeight="true" outlineLevel="0" collapsed="false">
      <c r="A67" s="5" t="s">
        <v>1056</v>
      </c>
      <c r="B67" s="5" t="s">
        <v>339</v>
      </c>
      <c r="C67" s="5" t="s">
        <v>1057</v>
      </c>
      <c r="D67" s="5" t="s">
        <v>749</v>
      </c>
      <c r="E67" s="5" t="s">
        <v>782</v>
      </c>
      <c r="F67" s="5" t="s">
        <v>1058</v>
      </c>
      <c r="G67" s="5" t="s">
        <v>1059</v>
      </c>
      <c r="H67" s="5"/>
      <c r="I67" s="5" t="s">
        <v>745</v>
      </c>
      <c r="J67" s="5" t="s">
        <v>1060</v>
      </c>
    </row>
    <row r="68" customFormat="false" ht="75" hidden="false" customHeight="true" outlineLevel="0" collapsed="false">
      <c r="A68" s="5" t="s">
        <v>1061</v>
      </c>
      <c r="B68" s="5" t="s">
        <v>339</v>
      </c>
      <c r="C68" s="5" t="s">
        <v>1062</v>
      </c>
      <c r="D68" s="5" t="s">
        <v>772</v>
      </c>
      <c r="E68" s="5" t="s">
        <v>782</v>
      </c>
      <c r="F68" s="5" t="s">
        <v>1063</v>
      </c>
      <c r="G68" s="5" t="s">
        <v>1064</v>
      </c>
      <c r="H68" s="5" t="s">
        <v>74</v>
      </c>
      <c r="I68" s="5" t="s">
        <v>785</v>
      </c>
      <c r="J68" s="5" t="s">
        <v>1065</v>
      </c>
    </row>
    <row r="69" customFormat="false" ht="75" hidden="false" customHeight="true" outlineLevel="0" collapsed="false">
      <c r="A69" s="5" t="s">
        <v>1066</v>
      </c>
      <c r="B69" s="5" t="s">
        <v>339</v>
      </c>
      <c r="C69" s="5" t="s">
        <v>1067</v>
      </c>
      <c r="D69" s="5" t="s">
        <v>772</v>
      </c>
      <c r="E69" s="5" t="s">
        <v>782</v>
      </c>
      <c r="F69" s="5" t="s">
        <v>1068</v>
      </c>
      <c r="G69" s="5" t="s">
        <v>1069</v>
      </c>
      <c r="H69" s="5" t="s">
        <v>274</v>
      </c>
      <c r="I69" s="5" t="s">
        <v>753</v>
      </c>
      <c r="J69" s="5" t="s">
        <v>1070</v>
      </c>
    </row>
    <row r="70" customFormat="false" ht="75" hidden="false" customHeight="true" outlineLevel="0" collapsed="false">
      <c r="A70" s="5" t="s">
        <v>1071</v>
      </c>
      <c r="B70" s="5" t="s">
        <v>339</v>
      </c>
      <c r="C70" s="5" t="s">
        <v>1072</v>
      </c>
      <c r="D70" s="5" t="s">
        <v>772</v>
      </c>
      <c r="E70" s="5" t="s">
        <v>782</v>
      </c>
      <c r="F70" s="5" t="s">
        <v>1073</v>
      </c>
      <c r="G70" s="5" t="s">
        <v>1074</v>
      </c>
      <c r="H70" s="5" t="s">
        <v>1075</v>
      </c>
      <c r="I70" s="5" t="s">
        <v>734</v>
      </c>
      <c r="J70" s="5" t="s">
        <v>1076</v>
      </c>
    </row>
    <row r="71" customFormat="false" ht="75" hidden="false" customHeight="true" outlineLevel="0" collapsed="false">
      <c r="A71" s="5" t="s">
        <v>1077</v>
      </c>
      <c r="B71" s="5" t="s">
        <v>339</v>
      </c>
      <c r="C71" s="5" t="s">
        <v>1078</v>
      </c>
      <c r="D71" s="5" t="s">
        <v>772</v>
      </c>
      <c r="E71" s="5" t="s">
        <v>782</v>
      </c>
      <c r="F71" s="5" t="s">
        <v>1079</v>
      </c>
      <c r="G71" s="5" t="s">
        <v>1080</v>
      </c>
      <c r="H71" s="5" t="s">
        <v>32</v>
      </c>
      <c r="I71" s="5" t="s">
        <v>734</v>
      </c>
      <c r="J71" s="5" t="s">
        <v>1081</v>
      </c>
    </row>
    <row r="72" customFormat="false" ht="75" hidden="false" customHeight="true" outlineLevel="0" collapsed="false">
      <c r="A72" s="5" t="s">
        <v>1082</v>
      </c>
      <c r="B72" s="5" t="s">
        <v>339</v>
      </c>
      <c r="C72" s="5" t="s">
        <v>1083</v>
      </c>
      <c r="D72" s="5" t="s">
        <v>772</v>
      </c>
      <c r="E72" s="5" t="s">
        <v>782</v>
      </c>
      <c r="F72" s="5" t="s">
        <v>1084</v>
      </c>
      <c r="G72" s="5" t="s">
        <v>1085</v>
      </c>
      <c r="H72" s="5" t="s">
        <v>49</v>
      </c>
      <c r="I72" s="5" t="s">
        <v>734</v>
      </c>
      <c r="J72" s="5" t="s">
        <v>1086</v>
      </c>
    </row>
    <row r="73" customFormat="false" ht="75" hidden="false" customHeight="true" outlineLevel="0" collapsed="false">
      <c r="A73" s="5" t="s">
        <v>1087</v>
      </c>
      <c r="B73" s="5" t="s">
        <v>339</v>
      </c>
      <c r="C73" s="5" t="s">
        <v>1088</v>
      </c>
      <c r="D73" s="5" t="s">
        <v>772</v>
      </c>
      <c r="E73" s="5" t="s">
        <v>789</v>
      </c>
      <c r="F73" s="5" t="s">
        <v>1089</v>
      </c>
      <c r="G73" s="5" t="s">
        <v>1090</v>
      </c>
      <c r="H73" s="5" t="s">
        <v>49</v>
      </c>
      <c r="I73" s="5" t="s">
        <v>734</v>
      </c>
      <c r="J73" s="5" t="s">
        <v>852</v>
      </c>
    </row>
    <row r="74" customFormat="false" ht="75" hidden="false" customHeight="true" outlineLevel="0" collapsed="false">
      <c r="A74" s="5" t="s">
        <v>1091</v>
      </c>
      <c r="B74" s="5" t="s">
        <v>339</v>
      </c>
      <c r="C74" s="5" t="s">
        <v>1092</v>
      </c>
      <c r="D74" s="5" t="s">
        <v>772</v>
      </c>
      <c r="E74" s="5" t="s">
        <v>782</v>
      </c>
      <c r="F74" s="5" t="s">
        <v>1093</v>
      </c>
      <c r="G74" s="5" t="s">
        <v>1094</v>
      </c>
      <c r="H74" s="5"/>
      <c r="I74" s="5" t="s">
        <v>734</v>
      </c>
      <c r="J74" s="5" t="s">
        <v>1095</v>
      </c>
    </row>
    <row r="75" customFormat="false" ht="75" hidden="false" customHeight="true" outlineLevel="0" collapsed="false">
      <c r="A75" s="5" t="s">
        <v>1096</v>
      </c>
      <c r="B75" s="5" t="s">
        <v>339</v>
      </c>
      <c r="C75" s="5" t="s">
        <v>1097</v>
      </c>
      <c r="D75" s="5" t="s">
        <v>749</v>
      </c>
      <c r="E75" s="5" t="s">
        <v>789</v>
      </c>
      <c r="F75" s="5" t="s">
        <v>1098</v>
      </c>
      <c r="G75" s="5" t="s">
        <v>1099</v>
      </c>
      <c r="H75" s="5"/>
      <c r="I75" s="5" t="s">
        <v>753</v>
      </c>
      <c r="J75" s="5" t="s">
        <v>1100</v>
      </c>
    </row>
    <row r="76" customFormat="false" ht="75" hidden="false" customHeight="true" outlineLevel="0" collapsed="false">
      <c r="A76" s="5" t="s">
        <v>1101</v>
      </c>
      <c r="B76" s="5" t="s">
        <v>339</v>
      </c>
      <c r="C76" s="5" t="s">
        <v>1102</v>
      </c>
      <c r="D76" s="5" t="s">
        <v>772</v>
      </c>
      <c r="E76" s="5" t="s">
        <v>888</v>
      </c>
      <c r="F76" s="5" t="s">
        <v>1103</v>
      </c>
      <c r="G76" s="5" t="s">
        <v>1104</v>
      </c>
      <c r="H76" s="5" t="s">
        <v>1105</v>
      </c>
      <c r="I76" s="5" t="s">
        <v>753</v>
      </c>
      <c r="J76" s="5" t="s">
        <v>1106</v>
      </c>
    </row>
    <row r="77" customFormat="false" ht="75" hidden="false" customHeight="true" outlineLevel="0" collapsed="false">
      <c r="A77" s="5" t="s">
        <v>1107</v>
      </c>
      <c r="B77" s="5" t="s">
        <v>339</v>
      </c>
      <c r="C77" s="5" t="s">
        <v>1108</v>
      </c>
      <c r="D77" s="5" t="s">
        <v>772</v>
      </c>
      <c r="E77" s="5" t="s">
        <v>762</v>
      </c>
      <c r="F77" s="5" t="s">
        <v>1109</v>
      </c>
      <c r="G77" s="5" t="s">
        <v>1110</v>
      </c>
      <c r="H77" s="5"/>
      <c r="I77" s="5" t="s">
        <v>734</v>
      </c>
      <c r="J77" s="5" t="s">
        <v>1111</v>
      </c>
    </row>
    <row r="78" customFormat="false" ht="75" hidden="false" customHeight="true" outlineLevel="0" collapsed="false">
      <c r="A78" s="5" t="s">
        <v>1112</v>
      </c>
      <c r="B78" s="5" t="s">
        <v>339</v>
      </c>
      <c r="C78" s="5" t="s">
        <v>1113</v>
      </c>
      <c r="D78" s="5" t="s">
        <v>772</v>
      </c>
      <c r="E78" s="5" t="s">
        <v>782</v>
      </c>
      <c r="F78" s="5" t="s">
        <v>1114</v>
      </c>
      <c r="G78" s="5" t="s">
        <v>1115</v>
      </c>
      <c r="H78" s="5" t="s">
        <v>250</v>
      </c>
      <c r="I78" s="5" t="s">
        <v>734</v>
      </c>
      <c r="J78" s="5" t="s">
        <v>1116</v>
      </c>
    </row>
    <row r="79" customFormat="false" ht="75" hidden="false" customHeight="true" outlineLevel="0" collapsed="false">
      <c r="A79" s="5" t="s">
        <v>1117</v>
      </c>
      <c r="B79" s="5" t="s">
        <v>339</v>
      </c>
      <c r="C79" s="5" t="s">
        <v>1118</v>
      </c>
      <c r="D79" s="5" t="s">
        <v>772</v>
      </c>
      <c r="E79" s="5" t="s">
        <v>924</v>
      </c>
      <c r="F79" s="5" t="s">
        <v>1119</v>
      </c>
      <c r="G79" s="5" t="s">
        <v>1120</v>
      </c>
      <c r="H79" s="5"/>
      <c r="I79" s="5" t="s">
        <v>745</v>
      </c>
      <c r="J79" s="5" t="s">
        <v>1121</v>
      </c>
    </row>
    <row r="80" customFormat="false" ht="75" hidden="false" customHeight="true" outlineLevel="0" collapsed="false">
      <c r="A80" s="5" t="s">
        <v>1122</v>
      </c>
      <c r="B80" s="5" t="s">
        <v>339</v>
      </c>
      <c r="C80" s="5" t="s">
        <v>1123</v>
      </c>
      <c r="D80" s="5" t="s">
        <v>729</v>
      </c>
      <c r="E80" s="5" t="s">
        <v>750</v>
      </c>
      <c r="F80" s="5" t="s">
        <v>1124</v>
      </c>
      <c r="G80" s="5" t="s">
        <v>1125</v>
      </c>
      <c r="H80" s="5"/>
      <c r="I80" s="5" t="s">
        <v>745</v>
      </c>
      <c r="J80" s="5" t="s">
        <v>1126</v>
      </c>
    </row>
    <row r="81" customFormat="false" ht="75" hidden="false" customHeight="true" outlineLevel="0" collapsed="false">
      <c r="A81" s="5" t="s">
        <v>1127</v>
      </c>
      <c r="B81" s="5" t="s">
        <v>348</v>
      </c>
      <c r="C81" s="5" t="s">
        <v>1128</v>
      </c>
      <c r="D81" s="5" t="s">
        <v>729</v>
      </c>
      <c r="E81" s="5" t="s">
        <v>730</v>
      </c>
      <c r="F81" s="5" t="s">
        <v>1129</v>
      </c>
      <c r="G81" s="5" t="s">
        <v>1130</v>
      </c>
      <c r="H81" s="5" t="s">
        <v>170</v>
      </c>
      <c r="I81" s="5" t="s">
        <v>745</v>
      </c>
      <c r="J81" s="5" t="s">
        <v>942</v>
      </c>
    </row>
    <row r="82" customFormat="false" ht="75" hidden="false" customHeight="true" outlineLevel="0" collapsed="false">
      <c r="A82" s="5" t="s">
        <v>1131</v>
      </c>
      <c r="B82" s="5" t="s">
        <v>348</v>
      </c>
      <c r="C82" s="5" t="s">
        <v>1132</v>
      </c>
      <c r="D82" s="5" t="s">
        <v>772</v>
      </c>
      <c r="E82" s="5" t="s">
        <v>730</v>
      </c>
      <c r="F82" s="5" t="s">
        <v>1133</v>
      </c>
      <c r="G82" s="5" t="s">
        <v>1134</v>
      </c>
      <c r="H82" s="5" t="s">
        <v>1135</v>
      </c>
      <c r="I82" s="5" t="s">
        <v>734</v>
      </c>
      <c r="J82" s="5" t="s">
        <v>1136</v>
      </c>
    </row>
    <row r="83" customFormat="false" ht="75" hidden="false" customHeight="true" outlineLevel="0" collapsed="false">
      <c r="A83" s="5" t="s">
        <v>1137</v>
      </c>
      <c r="B83" s="5" t="s">
        <v>348</v>
      </c>
      <c r="C83" s="5" t="s">
        <v>1138</v>
      </c>
      <c r="D83" s="5" t="s">
        <v>772</v>
      </c>
      <c r="E83" s="5" t="s">
        <v>888</v>
      </c>
      <c r="F83" s="5" t="s">
        <v>1139</v>
      </c>
      <c r="G83" s="5" t="s">
        <v>1134</v>
      </c>
      <c r="H83" s="5"/>
      <c r="I83" s="5" t="s">
        <v>745</v>
      </c>
      <c r="J83" s="5" t="s">
        <v>1140</v>
      </c>
    </row>
    <row r="84" customFormat="false" ht="75" hidden="false" customHeight="true" outlineLevel="0" collapsed="false">
      <c r="A84" s="5" t="s">
        <v>1141</v>
      </c>
      <c r="B84" s="5" t="s">
        <v>348</v>
      </c>
      <c r="C84" s="5" t="s">
        <v>1142</v>
      </c>
      <c r="D84" s="5" t="s">
        <v>772</v>
      </c>
      <c r="E84" s="5" t="s">
        <v>888</v>
      </c>
      <c r="F84" s="5" t="s">
        <v>1143</v>
      </c>
      <c r="G84" s="5" t="s">
        <v>1134</v>
      </c>
      <c r="H84" s="5"/>
      <c r="I84" s="5" t="s">
        <v>745</v>
      </c>
      <c r="J84" s="5" t="s">
        <v>1144</v>
      </c>
    </row>
    <row r="85" customFormat="false" ht="75" hidden="false" customHeight="true" outlineLevel="0" collapsed="false">
      <c r="A85" s="5" t="s">
        <v>1145</v>
      </c>
      <c r="B85" s="5" t="s">
        <v>348</v>
      </c>
      <c r="C85" s="5" t="s">
        <v>1146</v>
      </c>
      <c r="D85" s="5" t="s">
        <v>729</v>
      </c>
      <c r="E85" s="5" t="s">
        <v>730</v>
      </c>
      <c r="F85" s="5" t="s">
        <v>1147</v>
      </c>
      <c r="G85" s="5" t="s">
        <v>1148</v>
      </c>
      <c r="H85" s="5"/>
      <c r="I85" s="5" t="s">
        <v>745</v>
      </c>
      <c r="J85" s="5" t="s">
        <v>1149</v>
      </c>
    </row>
    <row r="86" customFormat="false" ht="75" hidden="false" customHeight="true" outlineLevel="0" collapsed="false">
      <c r="A86" s="5" t="s">
        <v>1150</v>
      </c>
      <c r="B86" s="5" t="s">
        <v>348</v>
      </c>
      <c r="C86" s="5" t="s">
        <v>1151</v>
      </c>
      <c r="D86" s="5" t="s">
        <v>772</v>
      </c>
      <c r="E86" s="5" t="s">
        <v>782</v>
      </c>
      <c r="F86" s="5" t="s">
        <v>1152</v>
      </c>
      <c r="G86" s="5" t="s">
        <v>1153</v>
      </c>
      <c r="H86" s="5"/>
      <c r="I86" s="5" t="s">
        <v>734</v>
      </c>
      <c r="J86" s="5" t="s">
        <v>1154</v>
      </c>
    </row>
    <row r="87" customFormat="false" ht="75" hidden="false" customHeight="true" outlineLevel="0" collapsed="false">
      <c r="A87" s="5" t="s">
        <v>1155</v>
      </c>
      <c r="B87" s="5" t="s">
        <v>348</v>
      </c>
      <c r="C87" s="5" t="s">
        <v>1156</v>
      </c>
      <c r="D87" s="5" t="s">
        <v>772</v>
      </c>
      <c r="E87" s="5" t="s">
        <v>782</v>
      </c>
      <c r="F87" s="5" t="s">
        <v>1157</v>
      </c>
      <c r="G87" s="5" t="s">
        <v>1153</v>
      </c>
      <c r="H87" s="5" t="s">
        <v>290</v>
      </c>
      <c r="I87" s="5" t="s">
        <v>753</v>
      </c>
      <c r="J87" s="5" t="s">
        <v>1158</v>
      </c>
    </row>
    <row r="88" customFormat="false" ht="75" hidden="false" customHeight="true" outlineLevel="0" collapsed="false">
      <c r="A88" s="5" t="s">
        <v>1159</v>
      </c>
      <c r="B88" s="5" t="s">
        <v>348</v>
      </c>
      <c r="C88" s="5" t="s">
        <v>1160</v>
      </c>
      <c r="D88" s="5" t="s">
        <v>772</v>
      </c>
      <c r="E88" s="5" t="s">
        <v>782</v>
      </c>
      <c r="F88" s="5" t="s">
        <v>1161</v>
      </c>
      <c r="G88" s="5" t="s">
        <v>1153</v>
      </c>
      <c r="H88" s="5" t="s">
        <v>23</v>
      </c>
      <c r="I88" s="5" t="s">
        <v>734</v>
      </c>
      <c r="J88" s="5" t="s">
        <v>1162</v>
      </c>
    </row>
    <row r="89" customFormat="false" ht="75" hidden="false" customHeight="true" outlineLevel="0" collapsed="false">
      <c r="A89" s="5" t="s">
        <v>1163</v>
      </c>
      <c r="B89" s="5" t="s">
        <v>348</v>
      </c>
      <c r="C89" s="5" t="s">
        <v>1164</v>
      </c>
      <c r="D89" s="5" t="s">
        <v>772</v>
      </c>
      <c r="E89" s="5" t="s">
        <v>782</v>
      </c>
      <c r="F89" s="5" t="s">
        <v>1165</v>
      </c>
      <c r="G89" s="5" t="s">
        <v>1153</v>
      </c>
      <c r="H89" s="5"/>
      <c r="I89" s="5" t="s">
        <v>734</v>
      </c>
      <c r="J89" s="5" t="s">
        <v>1166</v>
      </c>
    </row>
    <row r="90" customFormat="false" ht="75" hidden="false" customHeight="true" outlineLevel="0" collapsed="false">
      <c r="A90" s="5" t="s">
        <v>1167</v>
      </c>
      <c r="B90" s="5" t="s">
        <v>348</v>
      </c>
      <c r="C90" s="5" t="s">
        <v>1168</v>
      </c>
      <c r="D90" s="5" t="s">
        <v>772</v>
      </c>
      <c r="E90" s="5" t="s">
        <v>782</v>
      </c>
      <c r="F90" s="5" t="s">
        <v>1169</v>
      </c>
      <c r="G90" s="5" t="s">
        <v>1153</v>
      </c>
      <c r="H90" s="5"/>
      <c r="I90" s="5" t="s">
        <v>753</v>
      </c>
      <c r="J90" s="5" t="s">
        <v>1170</v>
      </c>
    </row>
    <row r="91" customFormat="false" ht="75" hidden="false" customHeight="true" outlineLevel="0" collapsed="false">
      <c r="A91" s="5" t="s">
        <v>1171</v>
      </c>
      <c r="B91" s="5" t="s">
        <v>348</v>
      </c>
      <c r="C91" s="5" t="s">
        <v>1172</v>
      </c>
      <c r="D91" s="5" t="s">
        <v>772</v>
      </c>
      <c r="E91" s="5" t="s">
        <v>782</v>
      </c>
      <c r="F91" s="5" t="s">
        <v>1173</v>
      </c>
      <c r="G91" s="5" t="s">
        <v>1174</v>
      </c>
      <c r="H91" s="5"/>
      <c r="I91" s="5" t="s">
        <v>753</v>
      </c>
      <c r="J91" s="5" t="s">
        <v>1175</v>
      </c>
    </row>
    <row r="92" customFormat="false" ht="75" hidden="false" customHeight="true" outlineLevel="0" collapsed="false">
      <c r="A92" s="5" t="s">
        <v>1176</v>
      </c>
      <c r="B92" s="5" t="s">
        <v>348</v>
      </c>
      <c r="C92" s="5" t="s">
        <v>1177</v>
      </c>
      <c r="D92" s="5" t="s">
        <v>772</v>
      </c>
      <c r="E92" s="5" t="s">
        <v>782</v>
      </c>
      <c r="F92" s="5" t="s">
        <v>1178</v>
      </c>
      <c r="G92" s="5" t="s">
        <v>1179</v>
      </c>
      <c r="H92" s="5" t="s">
        <v>66</v>
      </c>
      <c r="I92" s="5" t="s">
        <v>753</v>
      </c>
      <c r="J92" s="5" t="s">
        <v>1180</v>
      </c>
    </row>
    <row r="93" customFormat="false" ht="75" hidden="false" customHeight="true" outlineLevel="0" collapsed="false">
      <c r="A93" s="5" t="s">
        <v>1181</v>
      </c>
      <c r="B93" s="5" t="s">
        <v>348</v>
      </c>
      <c r="C93" s="5" t="s">
        <v>1182</v>
      </c>
      <c r="D93" s="5" t="s">
        <v>772</v>
      </c>
      <c r="E93" s="5" t="s">
        <v>782</v>
      </c>
      <c r="F93" s="5" t="s">
        <v>1183</v>
      </c>
      <c r="G93" s="5" t="s">
        <v>1184</v>
      </c>
      <c r="H93" s="5" t="s">
        <v>210</v>
      </c>
      <c r="I93" s="5" t="s">
        <v>753</v>
      </c>
      <c r="J93" s="5" t="s">
        <v>1185</v>
      </c>
    </row>
    <row r="94" customFormat="false" ht="75" hidden="false" customHeight="true" outlineLevel="0" collapsed="false">
      <c r="A94" s="5" t="s">
        <v>1186</v>
      </c>
      <c r="B94" s="5" t="s">
        <v>348</v>
      </c>
      <c r="C94" s="5" t="s">
        <v>1187</v>
      </c>
      <c r="D94" s="5" t="s">
        <v>772</v>
      </c>
      <c r="E94" s="5" t="s">
        <v>782</v>
      </c>
      <c r="F94" s="5" t="s">
        <v>1188</v>
      </c>
      <c r="G94" s="5" t="s">
        <v>1189</v>
      </c>
      <c r="H94" s="5" t="s">
        <v>74</v>
      </c>
      <c r="I94" s="5" t="s">
        <v>753</v>
      </c>
      <c r="J94" s="5" t="s">
        <v>1190</v>
      </c>
    </row>
    <row r="95" customFormat="false" ht="75" hidden="false" customHeight="true" outlineLevel="0" collapsed="false">
      <c r="A95" s="5" t="s">
        <v>1191</v>
      </c>
      <c r="B95" s="5" t="s">
        <v>348</v>
      </c>
      <c r="C95" s="5" t="s">
        <v>1192</v>
      </c>
      <c r="D95" s="5" t="s">
        <v>749</v>
      </c>
      <c r="E95" s="5" t="s">
        <v>782</v>
      </c>
      <c r="F95" s="5" t="s">
        <v>1193</v>
      </c>
      <c r="G95" s="5" t="s">
        <v>1194</v>
      </c>
      <c r="H95" s="5" t="s">
        <v>178</v>
      </c>
      <c r="I95" s="5" t="s">
        <v>745</v>
      </c>
      <c r="J95" s="5" t="s">
        <v>765</v>
      </c>
    </row>
    <row r="96" customFormat="false" ht="75" hidden="false" customHeight="true" outlineLevel="0" collapsed="false">
      <c r="A96" s="5" t="s">
        <v>1195</v>
      </c>
      <c r="B96" s="5" t="s">
        <v>348</v>
      </c>
      <c r="C96" s="5" t="s">
        <v>1196</v>
      </c>
      <c r="D96" s="5" t="s">
        <v>772</v>
      </c>
      <c r="E96" s="5" t="s">
        <v>762</v>
      </c>
      <c r="F96" s="5" t="s">
        <v>1197</v>
      </c>
      <c r="G96" s="5" t="s">
        <v>1134</v>
      </c>
      <c r="H96" s="5"/>
      <c r="I96" s="5" t="s">
        <v>745</v>
      </c>
      <c r="J96" s="5" t="s">
        <v>1198</v>
      </c>
    </row>
    <row r="97" customFormat="false" ht="75" hidden="false" customHeight="true" outlineLevel="0" collapsed="false">
      <c r="A97" s="5" t="s">
        <v>1199</v>
      </c>
      <c r="B97" s="5" t="s">
        <v>348</v>
      </c>
      <c r="C97" s="5" t="s">
        <v>1200</v>
      </c>
      <c r="D97" s="5" t="s">
        <v>749</v>
      </c>
      <c r="E97" s="5" t="s">
        <v>789</v>
      </c>
      <c r="F97" s="5" t="s">
        <v>1201</v>
      </c>
      <c r="G97" s="5" t="s">
        <v>1202</v>
      </c>
      <c r="H97" s="5" t="s">
        <v>194</v>
      </c>
      <c r="I97" s="5" t="s">
        <v>753</v>
      </c>
      <c r="J97" s="5" t="s">
        <v>1203</v>
      </c>
    </row>
    <row r="98" customFormat="false" ht="75" hidden="false" customHeight="true" outlineLevel="0" collapsed="false">
      <c r="A98" s="5" t="s">
        <v>1204</v>
      </c>
      <c r="B98" s="5" t="s">
        <v>348</v>
      </c>
      <c r="C98" s="5" t="s">
        <v>1205</v>
      </c>
      <c r="D98" s="5" t="s">
        <v>729</v>
      </c>
      <c r="E98" s="5" t="s">
        <v>802</v>
      </c>
      <c r="F98" s="5" t="s">
        <v>1206</v>
      </c>
      <c r="G98" s="5" t="s">
        <v>1207</v>
      </c>
      <c r="H98" s="5"/>
      <c r="I98" s="5" t="s">
        <v>753</v>
      </c>
      <c r="J98" s="5" t="s">
        <v>1208</v>
      </c>
    </row>
    <row r="99" customFormat="false" ht="75" hidden="false" customHeight="true" outlineLevel="0" collapsed="false">
      <c r="A99" s="5" t="s">
        <v>1209</v>
      </c>
      <c r="B99" s="5" t="s">
        <v>348</v>
      </c>
      <c r="C99" s="5" t="s">
        <v>1210</v>
      </c>
      <c r="D99" s="5" t="s">
        <v>749</v>
      </c>
      <c r="E99" s="5" t="s">
        <v>750</v>
      </c>
      <c r="F99" s="5" t="s">
        <v>1211</v>
      </c>
      <c r="G99" s="5" t="s">
        <v>1153</v>
      </c>
      <c r="H99" s="5" t="s">
        <v>1212</v>
      </c>
      <c r="I99" s="5" t="s">
        <v>745</v>
      </c>
      <c r="J99" s="5" t="s">
        <v>1213</v>
      </c>
    </row>
    <row r="100" customFormat="false" ht="75" hidden="false" customHeight="true" outlineLevel="0" collapsed="false">
      <c r="A100" s="5" t="s">
        <v>1214</v>
      </c>
      <c r="B100" s="5" t="s">
        <v>348</v>
      </c>
      <c r="C100" s="5" t="s">
        <v>1215</v>
      </c>
      <c r="D100" s="5" t="s">
        <v>749</v>
      </c>
      <c r="E100" s="5" t="s">
        <v>730</v>
      </c>
      <c r="F100" s="5" t="s">
        <v>1216</v>
      </c>
      <c r="G100" s="5" t="s">
        <v>1130</v>
      </c>
      <c r="H100" s="5"/>
      <c r="I100" s="5" t="s">
        <v>745</v>
      </c>
      <c r="J100" s="5" t="s">
        <v>942</v>
      </c>
    </row>
    <row r="101" customFormat="false" ht="75" hidden="false" customHeight="true" outlineLevel="0" collapsed="false">
      <c r="A101" s="5" t="s">
        <v>1217</v>
      </c>
      <c r="B101" s="5" t="s">
        <v>348</v>
      </c>
      <c r="C101" s="5" t="s">
        <v>1218</v>
      </c>
      <c r="D101" s="5" t="s">
        <v>772</v>
      </c>
      <c r="E101" s="5" t="s">
        <v>730</v>
      </c>
      <c r="F101" s="5" t="s">
        <v>1219</v>
      </c>
      <c r="G101" s="5" t="s">
        <v>1134</v>
      </c>
      <c r="H101" s="5"/>
      <c r="I101" s="5" t="s">
        <v>734</v>
      </c>
      <c r="J101" s="5" t="s">
        <v>1220</v>
      </c>
    </row>
    <row r="102" customFormat="false" ht="75" hidden="false" customHeight="true" outlineLevel="0" collapsed="false">
      <c r="A102" s="5" t="s">
        <v>1221</v>
      </c>
      <c r="B102" s="5" t="s">
        <v>348</v>
      </c>
      <c r="C102" s="5" t="s">
        <v>1222</v>
      </c>
      <c r="D102" s="5" t="s">
        <v>729</v>
      </c>
      <c r="E102" s="5" t="s">
        <v>730</v>
      </c>
      <c r="F102" s="5" t="s">
        <v>1223</v>
      </c>
      <c r="G102" s="5" t="s">
        <v>1148</v>
      </c>
      <c r="H102" s="5"/>
      <c r="I102" s="5" t="s">
        <v>745</v>
      </c>
      <c r="J102" s="5" t="s">
        <v>1224</v>
      </c>
    </row>
    <row r="103" customFormat="false" ht="75" hidden="false" customHeight="true" outlineLevel="0" collapsed="false">
      <c r="A103" s="5" t="s">
        <v>1225</v>
      </c>
      <c r="B103" s="5" t="s">
        <v>348</v>
      </c>
      <c r="C103" s="5" t="s">
        <v>1226</v>
      </c>
      <c r="D103" s="5" t="s">
        <v>772</v>
      </c>
      <c r="E103" s="5" t="s">
        <v>888</v>
      </c>
      <c r="F103" s="5" t="s">
        <v>1227</v>
      </c>
      <c r="G103" s="5" t="s">
        <v>1134</v>
      </c>
      <c r="H103" s="5"/>
      <c r="I103" s="5" t="s">
        <v>745</v>
      </c>
      <c r="J103" s="5" t="s">
        <v>1228</v>
      </c>
    </row>
    <row r="104" customFormat="false" ht="75" hidden="false" customHeight="true" outlineLevel="0" collapsed="false">
      <c r="A104" s="5" t="s">
        <v>1229</v>
      </c>
      <c r="B104" s="5" t="s">
        <v>348</v>
      </c>
      <c r="C104" s="5" t="s">
        <v>1230</v>
      </c>
      <c r="D104" s="5" t="s">
        <v>772</v>
      </c>
      <c r="E104" s="5" t="s">
        <v>782</v>
      </c>
      <c r="F104" s="5" t="s">
        <v>1231</v>
      </c>
      <c r="G104" s="5" t="s">
        <v>1232</v>
      </c>
      <c r="H104" s="5"/>
      <c r="I104" s="5" t="s">
        <v>734</v>
      </c>
      <c r="J104" s="5" t="s">
        <v>1233</v>
      </c>
    </row>
    <row r="105" customFormat="false" ht="75" hidden="false" customHeight="true" outlineLevel="0" collapsed="false">
      <c r="A105" s="5" t="s">
        <v>1234</v>
      </c>
      <c r="B105" s="5" t="s">
        <v>348</v>
      </c>
      <c r="C105" s="5" t="s">
        <v>1235</v>
      </c>
      <c r="D105" s="5" t="s">
        <v>772</v>
      </c>
      <c r="E105" s="5" t="s">
        <v>782</v>
      </c>
      <c r="F105" s="5" t="s">
        <v>1236</v>
      </c>
      <c r="G105" s="5" t="s">
        <v>1153</v>
      </c>
      <c r="H105" s="5"/>
      <c r="I105" s="5" t="s">
        <v>734</v>
      </c>
      <c r="J105" s="5" t="s">
        <v>1237</v>
      </c>
    </row>
    <row r="106" customFormat="false" ht="75" hidden="false" customHeight="true" outlineLevel="0" collapsed="false">
      <c r="A106" s="5" t="s">
        <v>1238</v>
      </c>
      <c r="B106" s="5" t="s">
        <v>348</v>
      </c>
      <c r="C106" s="5" t="s">
        <v>1239</v>
      </c>
      <c r="D106" s="5" t="s">
        <v>772</v>
      </c>
      <c r="E106" s="5" t="s">
        <v>782</v>
      </c>
      <c r="F106" s="5" t="s">
        <v>1240</v>
      </c>
      <c r="G106" s="5" t="s">
        <v>1153</v>
      </c>
      <c r="H106" s="5"/>
      <c r="I106" s="5" t="s">
        <v>753</v>
      </c>
      <c r="J106" s="5" t="s">
        <v>1241</v>
      </c>
    </row>
    <row r="107" customFormat="false" ht="75" hidden="false" customHeight="true" outlineLevel="0" collapsed="false">
      <c r="A107" s="5" t="s">
        <v>1242</v>
      </c>
      <c r="B107" s="5" t="s">
        <v>348</v>
      </c>
      <c r="C107" s="5" t="s">
        <v>1243</v>
      </c>
      <c r="D107" s="5" t="s">
        <v>772</v>
      </c>
      <c r="E107" s="5" t="s">
        <v>782</v>
      </c>
      <c r="F107" s="5" t="s">
        <v>1244</v>
      </c>
      <c r="G107" s="5" t="s">
        <v>1232</v>
      </c>
      <c r="H107" s="5"/>
      <c r="I107" s="5" t="s">
        <v>753</v>
      </c>
      <c r="J107" s="5" t="s">
        <v>1245</v>
      </c>
    </row>
    <row r="108" customFormat="false" ht="75" hidden="false" customHeight="true" outlineLevel="0" collapsed="false">
      <c r="A108" s="5" t="s">
        <v>1246</v>
      </c>
      <c r="B108" s="5" t="s">
        <v>348</v>
      </c>
      <c r="C108" s="5" t="s">
        <v>1247</v>
      </c>
      <c r="D108" s="5" t="s">
        <v>772</v>
      </c>
      <c r="E108" s="5" t="s">
        <v>782</v>
      </c>
      <c r="F108" s="5" t="s">
        <v>1248</v>
      </c>
      <c r="G108" s="5" t="s">
        <v>1232</v>
      </c>
      <c r="H108" s="5"/>
      <c r="I108" s="5" t="s">
        <v>785</v>
      </c>
      <c r="J108" s="5" t="s">
        <v>1249</v>
      </c>
    </row>
    <row r="109" customFormat="false" ht="75" hidden="false" customHeight="true" outlineLevel="0" collapsed="false">
      <c r="A109" s="5" t="s">
        <v>1250</v>
      </c>
      <c r="B109" s="5" t="s">
        <v>348</v>
      </c>
      <c r="C109" s="5" t="s">
        <v>1251</v>
      </c>
      <c r="D109" s="5" t="s">
        <v>749</v>
      </c>
      <c r="E109" s="5" t="s">
        <v>782</v>
      </c>
      <c r="F109" s="5" t="s">
        <v>1252</v>
      </c>
      <c r="G109" s="5" t="s">
        <v>1189</v>
      </c>
      <c r="H109" s="5"/>
      <c r="I109" s="5" t="s">
        <v>753</v>
      </c>
      <c r="J109" s="5" t="s">
        <v>1253</v>
      </c>
    </row>
    <row r="110" customFormat="false" ht="75" hidden="false" customHeight="true" outlineLevel="0" collapsed="false">
      <c r="A110" s="5" t="s">
        <v>1254</v>
      </c>
      <c r="B110" s="5" t="s">
        <v>348</v>
      </c>
      <c r="C110" s="5" t="s">
        <v>1255</v>
      </c>
      <c r="D110" s="5" t="s">
        <v>749</v>
      </c>
      <c r="E110" s="5" t="s">
        <v>762</v>
      </c>
      <c r="F110" s="5" t="s">
        <v>1256</v>
      </c>
      <c r="G110" s="5" t="s">
        <v>1257</v>
      </c>
      <c r="H110" s="5"/>
      <c r="I110" s="5" t="s">
        <v>745</v>
      </c>
      <c r="J110" s="5" t="s">
        <v>765</v>
      </c>
    </row>
    <row r="111" customFormat="false" ht="75" hidden="false" customHeight="true" outlineLevel="0" collapsed="false">
      <c r="A111" s="5" t="s">
        <v>1258</v>
      </c>
      <c r="B111" s="5" t="s">
        <v>357</v>
      </c>
      <c r="C111" s="5" t="s">
        <v>1259</v>
      </c>
      <c r="D111" s="5" t="s">
        <v>749</v>
      </c>
      <c r="E111" s="5" t="s">
        <v>730</v>
      </c>
      <c r="F111" s="5" t="s">
        <v>1260</v>
      </c>
      <c r="G111" s="5" t="s">
        <v>1261</v>
      </c>
      <c r="H111" s="5" t="s">
        <v>82</v>
      </c>
      <c r="I111" s="5" t="s">
        <v>734</v>
      </c>
      <c r="J111" s="5" t="s">
        <v>973</v>
      </c>
    </row>
    <row r="112" customFormat="false" ht="75" hidden="false" customHeight="true" outlineLevel="0" collapsed="false">
      <c r="A112" s="5" t="s">
        <v>1262</v>
      </c>
      <c r="B112" s="5" t="s">
        <v>357</v>
      </c>
      <c r="C112" s="5" t="s">
        <v>1263</v>
      </c>
      <c r="D112" s="5" t="s">
        <v>749</v>
      </c>
      <c r="E112" s="5" t="s">
        <v>730</v>
      </c>
      <c r="F112" s="5" t="s">
        <v>1264</v>
      </c>
      <c r="G112" s="5" t="s">
        <v>1265</v>
      </c>
      <c r="H112" s="5" t="s">
        <v>1266</v>
      </c>
      <c r="I112" s="5" t="s">
        <v>734</v>
      </c>
      <c r="J112" s="5" t="s">
        <v>1267</v>
      </c>
    </row>
    <row r="113" customFormat="false" ht="75" hidden="false" customHeight="true" outlineLevel="0" collapsed="false">
      <c r="A113" s="5" t="s">
        <v>1268</v>
      </c>
      <c r="B113" s="5" t="s">
        <v>357</v>
      </c>
      <c r="C113" s="5" t="s">
        <v>1269</v>
      </c>
      <c r="D113" s="5" t="s">
        <v>729</v>
      </c>
      <c r="E113" s="5" t="s">
        <v>730</v>
      </c>
      <c r="F113" s="5" t="s">
        <v>1270</v>
      </c>
      <c r="G113" s="5" t="s">
        <v>1271</v>
      </c>
      <c r="H113" s="5"/>
      <c r="I113" s="5" t="s">
        <v>745</v>
      </c>
      <c r="J113" s="5" t="s">
        <v>1272</v>
      </c>
    </row>
    <row r="114" customFormat="false" ht="75" hidden="false" customHeight="true" outlineLevel="0" collapsed="false">
      <c r="A114" s="5" t="s">
        <v>1273</v>
      </c>
      <c r="B114" s="5" t="s">
        <v>357</v>
      </c>
      <c r="C114" s="5" t="s">
        <v>1274</v>
      </c>
      <c r="D114" s="5" t="s">
        <v>729</v>
      </c>
      <c r="E114" s="5" t="s">
        <v>782</v>
      </c>
      <c r="F114" s="5" t="s">
        <v>1275</v>
      </c>
      <c r="G114" s="5" t="s">
        <v>1276</v>
      </c>
      <c r="H114" s="5" t="s">
        <v>1277</v>
      </c>
      <c r="I114" s="5" t="s">
        <v>753</v>
      </c>
      <c r="J114" s="5" t="s">
        <v>1278</v>
      </c>
    </row>
    <row r="115" customFormat="false" ht="75" hidden="false" customHeight="true" outlineLevel="0" collapsed="false">
      <c r="A115" s="5" t="s">
        <v>1279</v>
      </c>
      <c r="B115" s="5" t="s">
        <v>357</v>
      </c>
      <c r="C115" s="5" t="s">
        <v>1280</v>
      </c>
      <c r="D115" s="5" t="s">
        <v>729</v>
      </c>
      <c r="E115" s="5" t="s">
        <v>782</v>
      </c>
      <c r="F115" s="5" t="s">
        <v>1281</v>
      </c>
      <c r="G115" s="5" t="s">
        <v>1282</v>
      </c>
      <c r="H115" s="5" t="s">
        <v>66</v>
      </c>
      <c r="I115" s="5" t="s">
        <v>753</v>
      </c>
      <c r="J115" s="5" t="s">
        <v>1283</v>
      </c>
    </row>
    <row r="116" customFormat="false" ht="75" hidden="false" customHeight="true" outlineLevel="0" collapsed="false">
      <c r="A116" s="5" t="s">
        <v>1284</v>
      </c>
      <c r="B116" s="5" t="s">
        <v>357</v>
      </c>
      <c r="C116" s="5" t="s">
        <v>1285</v>
      </c>
      <c r="D116" s="5" t="s">
        <v>729</v>
      </c>
      <c r="E116" s="5" t="s">
        <v>888</v>
      </c>
      <c r="F116" s="5" t="s">
        <v>1286</v>
      </c>
      <c r="G116" s="5" t="s">
        <v>1282</v>
      </c>
      <c r="H116" s="5" t="s">
        <v>66</v>
      </c>
      <c r="I116" s="5" t="s">
        <v>753</v>
      </c>
      <c r="J116" s="5" t="s">
        <v>1287</v>
      </c>
    </row>
    <row r="117" customFormat="false" ht="75" hidden="false" customHeight="true" outlineLevel="0" collapsed="false">
      <c r="A117" s="5" t="s">
        <v>1288</v>
      </c>
      <c r="B117" s="5" t="s">
        <v>357</v>
      </c>
      <c r="C117" s="5" t="s">
        <v>1289</v>
      </c>
      <c r="D117" s="5" t="s">
        <v>749</v>
      </c>
      <c r="E117" s="5" t="s">
        <v>782</v>
      </c>
      <c r="F117" s="5" t="s">
        <v>1290</v>
      </c>
      <c r="G117" s="5" t="s">
        <v>1291</v>
      </c>
      <c r="H117" s="5" t="s">
        <v>1292</v>
      </c>
      <c r="I117" s="5" t="s">
        <v>745</v>
      </c>
      <c r="J117" s="5" t="s">
        <v>765</v>
      </c>
    </row>
    <row r="118" customFormat="false" ht="75" hidden="false" customHeight="true" outlineLevel="0" collapsed="false">
      <c r="A118" s="5" t="s">
        <v>1293</v>
      </c>
      <c r="B118" s="5" t="s">
        <v>357</v>
      </c>
      <c r="C118" s="5" t="s">
        <v>1294</v>
      </c>
      <c r="D118" s="5" t="s">
        <v>749</v>
      </c>
      <c r="E118" s="5" t="s">
        <v>782</v>
      </c>
      <c r="F118" s="5" t="s">
        <v>1295</v>
      </c>
      <c r="G118" s="5" t="s">
        <v>1296</v>
      </c>
      <c r="H118" s="5" t="s">
        <v>1297</v>
      </c>
      <c r="I118" s="5" t="s">
        <v>734</v>
      </c>
      <c r="J118" s="5" t="s">
        <v>1298</v>
      </c>
    </row>
    <row r="119" customFormat="false" ht="75" hidden="false" customHeight="true" outlineLevel="0" collapsed="false">
      <c r="A119" s="5" t="s">
        <v>1299</v>
      </c>
      <c r="B119" s="5" t="s">
        <v>357</v>
      </c>
      <c r="C119" s="5" t="s">
        <v>1300</v>
      </c>
      <c r="D119" s="5" t="s">
        <v>749</v>
      </c>
      <c r="E119" s="5" t="s">
        <v>782</v>
      </c>
      <c r="F119" s="5" t="s">
        <v>1301</v>
      </c>
      <c r="G119" s="5" t="s">
        <v>1296</v>
      </c>
      <c r="H119" s="5" t="s">
        <v>23</v>
      </c>
      <c r="I119" s="5" t="s">
        <v>734</v>
      </c>
      <c r="J119" s="5" t="s">
        <v>1302</v>
      </c>
    </row>
    <row r="120" customFormat="false" ht="75" hidden="false" customHeight="true" outlineLevel="0" collapsed="false">
      <c r="A120" s="5" t="s">
        <v>1303</v>
      </c>
      <c r="B120" s="5" t="s">
        <v>357</v>
      </c>
      <c r="C120" s="5" t="s">
        <v>1304</v>
      </c>
      <c r="D120" s="5" t="s">
        <v>729</v>
      </c>
      <c r="E120" s="5" t="s">
        <v>782</v>
      </c>
      <c r="F120" s="5" t="s">
        <v>1305</v>
      </c>
      <c r="G120" s="5" t="s">
        <v>1296</v>
      </c>
      <c r="H120" s="5" t="s">
        <v>23</v>
      </c>
      <c r="I120" s="5" t="s">
        <v>734</v>
      </c>
      <c r="J120" s="5" t="s">
        <v>1237</v>
      </c>
    </row>
    <row r="121" customFormat="false" ht="75" hidden="false" customHeight="true" outlineLevel="0" collapsed="false">
      <c r="A121" s="5" t="s">
        <v>1306</v>
      </c>
      <c r="B121" s="5" t="s">
        <v>357</v>
      </c>
      <c r="C121" s="5" t="s">
        <v>1307</v>
      </c>
      <c r="D121" s="5" t="s">
        <v>772</v>
      </c>
      <c r="E121" s="5" t="s">
        <v>782</v>
      </c>
      <c r="F121" s="5" t="s">
        <v>1308</v>
      </c>
      <c r="G121" s="5" t="s">
        <v>1296</v>
      </c>
      <c r="H121" s="5" t="s">
        <v>41</v>
      </c>
      <c r="I121" s="5" t="s">
        <v>785</v>
      </c>
      <c r="J121" s="5" t="s">
        <v>1309</v>
      </c>
    </row>
    <row r="122" customFormat="false" ht="75" hidden="false" customHeight="true" outlineLevel="0" collapsed="false">
      <c r="A122" s="5" t="s">
        <v>1310</v>
      </c>
      <c r="B122" s="5" t="s">
        <v>357</v>
      </c>
      <c r="C122" s="5" t="s">
        <v>1311</v>
      </c>
      <c r="D122" s="5" t="s">
        <v>729</v>
      </c>
      <c r="E122" s="5" t="s">
        <v>782</v>
      </c>
      <c r="F122" s="5" t="s">
        <v>1312</v>
      </c>
      <c r="G122" s="5" t="s">
        <v>1313</v>
      </c>
      <c r="H122" s="5" t="s">
        <v>1314</v>
      </c>
      <c r="I122" s="5" t="s">
        <v>734</v>
      </c>
      <c r="J122" s="5" t="s">
        <v>1315</v>
      </c>
    </row>
    <row r="123" customFormat="false" ht="75" hidden="false" customHeight="true" outlineLevel="0" collapsed="false">
      <c r="A123" s="5" t="s">
        <v>1316</v>
      </c>
      <c r="B123" s="5" t="s">
        <v>357</v>
      </c>
      <c r="C123" s="5" t="s">
        <v>1317</v>
      </c>
      <c r="D123" s="5" t="s">
        <v>749</v>
      </c>
      <c r="E123" s="5" t="s">
        <v>782</v>
      </c>
      <c r="F123" s="5" t="s">
        <v>1318</v>
      </c>
      <c r="G123" s="5" t="s">
        <v>1319</v>
      </c>
      <c r="H123" s="5"/>
      <c r="I123" s="5" t="s">
        <v>745</v>
      </c>
      <c r="J123" s="5" t="s">
        <v>765</v>
      </c>
    </row>
    <row r="124" customFormat="false" ht="75" hidden="false" customHeight="true" outlineLevel="0" collapsed="false">
      <c r="A124" s="5" t="s">
        <v>1320</v>
      </c>
      <c r="B124" s="5" t="s">
        <v>357</v>
      </c>
      <c r="C124" s="5" t="s">
        <v>1321</v>
      </c>
      <c r="D124" s="5" t="s">
        <v>749</v>
      </c>
      <c r="E124" s="5" t="s">
        <v>782</v>
      </c>
      <c r="F124" s="5" t="s">
        <v>1322</v>
      </c>
      <c r="G124" s="5" t="s">
        <v>1323</v>
      </c>
      <c r="H124" s="5"/>
      <c r="I124" s="5" t="s">
        <v>745</v>
      </c>
      <c r="J124" s="5" t="s">
        <v>1324</v>
      </c>
    </row>
    <row r="125" customFormat="false" ht="75" hidden="false" customHeight="true" outlineLevel="0" collapsed="false">
      <c r="A125" s="5" t="s">
        <v>1325</v>
      </c>
      <c r="B125" s="5" t="s">
        <v>357</v>
      </c>
      <c r="C125" s="5" t="s">
        <v>1326</v>
      </c>
      <c r="D125" s="5" t="s">
        <v>749</v>
      </c>
      <c r="E125" s="5" t="s">
        <v>888</v>
      </c>
      <c r="F125" s="5" t="s">
        <v>1327</v>
      </c>
      <c r="G125" s="5" t="s">
        <v>1328</v>
      </c>
      <c r="H125" s="5" t="s">
        <v>1329</v>
      </c>
      <c r="I125" s="5" t="s">
        <v>734</v>
      </c>
      <c r="J125" s="5" t="s">
        <v>1330</v>
      </c>
    </row>
    <row r="126" customFormat="false" ht="75" hidden="false" customHeight="true" outlineLevel="0" collapsed="false">
      <c r="A126" s="5" t="s">
        <v>1331</v>
      </c>
      <c r="B126" s="5" t="s">
        <v>357</v>
      </c>
      <c r="C126" s="5" t="s">
        <v>1332</v>
      </c>
      <c r="D126" s="5" t="s">
        <v>749</v>
      </c>
      <c r="E126" s="5" t="s">
        <v>888</v>
      </c>
      <c r="F126" s="5" t="s">
        <v>1333</v>
      </c>
      <c r="G126" s="5" t="s">
        <v>1334</v>
      </c>
      <c r="H126" s="5" t="s">
        <v>122</v>
      </c>
      <c r="I126" s="5" t="s">
        <v>745</v>
      </c>
      <c r="J126" s="5" t="s">
        <v>1335</v>
      </c>
    </row>
    <row r="127" customFormat="false" ht="75" hidden="false" customHeight="true" outlineLevel="0" collapsed="false">
      <c r="A127" s="5" t="s">
        <v>1336</v>
      </c>
      <c r="B127" s="5" t="s">
        <v>357</v>
      </c>
      <c r="C127" s="5" t="s">
        <v>1337</v>
      </c>
      <c r="D127" s="5" t="s">
        <v>772</v>
      </c>
      <c r="E127" s="5" t="s">
        <v>888</v>
      </c>
      <c r="F127" s="5" t="s">
        <v>1338</v>
      </c>
      <c r="G127" s="5" t="s">
        <v>1339</v>
      </c>
      <c r="H127" s="5" t="s">
        <v>1105</v>
      </c>
      <c r="I127" s="5" t="s">
        <v>753</v>
      </c>
      <c r="J127" s="5" t="s">
        <v>1106</v>
      </c>
    </row>
    <row r="128" customFormat="false" ht="75" hidden="false" customHeight="true" outlineLevel="0" collapsed="false">
      <c r="A128" s="5" t="s">
        <v>1340</v>
      </c>
      <c r="B128" s="5" t="s">
        <v>357</v>
      </c>
      <c r="C128" s="5" t="s">
        <v>1341</v>
      </c>
      <c r="D128" s="5" t="s">
        <v>749</v>
      </c>
      <c r="E128" s="5" t="s">
        <v>789</v>
      </c>
      <c r="F128" s="5" t="s">
        <v>1342</v>
      </c>
      <c r="G128" s="5" t="s">
        <v>1343</v>
      </c>
      <c r="H128" s="5"/>
      <c r="I128" s="5" t="s">
        <v>753</v>
      </c>
      <c r="J128" s="5" t="s">
        <v>1344</v>
      </c>
    </row>
    <row r="129" customFormat="false" ht="75" hidden="false" customHeight="true" outlineLevel="0" collapsed="false">
      <c r="A129" s="5" t="s">
        <v>1345</v>
      </c>
      <c r="B129" s="5" t="s">
        <v>357</v>
      </c>
      <c r="C129" s="5" t="s">
        <v>1346</v>
      </c>
      <c r="D129" s="5" t="s">
        <v>749</v>
      </c>
      <c r="E129" s="5" t="s">
        <v>789</v>
      </c>
      <c r="F129" s="5" t="s">
        <v>1347</v>
      </c>
      <c r="G129" s="5" t="s">
        <v>1348</v>
      </c>
      <c r="H129" s="5" t="s">
        <v>90</v>
      </c>
      <c r="I129" s="5" t="s">
        <v>734</v>
      </c>
      <c r="J129" s="5" t="s">
        <v>1349</v>
      </c>
    </row>
    <row r="130" customFormat="false" ht="75" hidden="false" customHeight="true" outlineLevel="0" collapsed="false">
      <c r="A130" s="5" t="s">
        <v>1350</v>
      </c>
      <c r="B130" s="5" t="s">
        <v>357</v>
      </c>
      <c r="C130" s="5" t="s">
        <v>1351</v>
      </c>
      <c r="D130" s="5" t="s">
        <v>772</v>
      </c>
      <c r="E130" s="5" t="s">
        <v>762</v>
      </c>
      <c r="F130" s="5" t="s">
        <v>1352</v>
      </c>
      <c r="G130" s="5" t="s">
        <v>1353</v>
      </c>
      <c r="H130" s="5" t="s">
        <v>226</v>
      </c>
      <c r="I130" s="5" t="s">
        <v>734</v>
      </c>
      <c r="J130" s="5" t="s">
        <v>1354</v>
      </c>
    </row>
    <row r="131" customFormat="false" ht="75" hidden="false" customHeight="true" outlineLevel="0" collapsed="false">
      <c r="A131" s="5" t="s">
        <v>1355</v>
      </c>
      <c r="B131" s="5" t="s">
        <v>357</v>
      </c>
      <c r="C131" s="5" t="s">
        <v>1356</v>
      </c>
      <c r="D131" s="5" t="s">
        <v>772</v>
      </c>
      <c r="E131" s="5" t="s">
        <v>782</v>
      </c>
      <c r="F131" s="5" t="s">
        <v>1357</v>
      </c>
      <c r="G131" s="5" t="s">
        <v>1358</v>
      </c>
      <c r="H131" s="5"/>
      <c r="I131" s="5" t="s">
        <v>745</v>
      </c>
      <c r="J131" s="5" t="s">
        <v>1359</v>
      </c>
    </row>
    <row r="132" customFormat="false" ht="75" hidden="false" customHeight="true" outlineLevel="0" collapsed="false">
      <c r="A132" s="5" t="s">
        <v>1360</v>
      </c>
      <c r="B132" s="5" t="s">
        <v>357</v>
      </c>
      <c r="C132" s="5" t="s">
        <v>1361</v>
      </c>
      <c r="D132" s="5" t="s">
        <v>772</v>
      </c>
      <c r="E132" s="5" t="s">
        <v>888</v>
      </c>
      <c r="F132" s="5" t="s">
        <v>1362</v>
      </c>
      <c r="G132" s="5" t="s">
        <v>1363</v>
      </c>
      <c r="H132" s="5" t="s">
        <v>258</v>
      </c>
      <c r="I132" s="5" t="s">
        <v>734</v>
      </c>
      <c r="J132" s="5" t="s">
        <v>1364</v>
      </c>
    </row>
    <row r="133" customFormat="false" ht="75" hidden="false" customHeight="true" outlineLevel="0" collapsed="false">
      <c r="A133" s="5" t="s">
        <v>1365</v>
      </c>
      <c r="B133" s="5" t="s">
        <v>357</v>
      </c>
      <c r="C133" s="5" t="s">
        <v>1366</v>
      </c>
      <c r="D133" s="5" t="s">
        <v>772</v>
      </c>
      <c r="E133" s="5" t="s">
        <v>924</v>
      </c>
      <c r="F133" s="5" t="s">
        <v>1367</v>
      </c>
      <c r="G133" s="5" t="s">
        <v>1368</v>
      </c>
      <c r="H133" s="5"/>
      <c r="I133" s="5" t="s">
        <v>745</v>
      </c>
      <c r="J133" s="5" t="s">
        <v>1369</v>
      </c>
    </row>
    <row r="134" customFormat="false" ht="75" hidden="false" customHeight="true" outlineLevel="0" collapsed="false">
      <c r="A134" s="5" t="s">
        <v>1370</v>
      </c>
      <c r="B134" s="5" t="s">
        <v>357</v>
      </c>
      <c r="C134" s="5" t="s">
        <v>1371</v>
      </c>
      <c r="D134" s="5" t="s">
        <v>729</v>
      </c>
      <c r="E134" s="5" t="s">
        <v>750</v>
      </c>
      <c r="F134" s="5" t="s">
        <v>1372</v>
      </c>
      <c r="G134" s="5" t="s">
        <v>1373</v>
      </c>
      <c r="H134" s="5"/>
      <c r="I134" s="5" t="s">
        <v>745</v>
      </c>
      <c r="J134" s="5" t="s">
        <v>1374</v>
      </c>
    </row>
    <row r="135" customFormat="false" ht="75" hidden="false" customHeight="true" outlineLevel="0" collapsed="false">
      <c r="A135" s="5" t="s">
        <v>1375</v>
      </c>
      <c r="B135" s="5" t="s">
        <v>357</v>
      </c>
      <c r="C135" s="5" t="s">
        <v>1376</v>
      </c>
      <c r="D135" s="5" t="s">
        <v>749</v>
      </c>
      <c r="E135" s="5" t="s">
        <v>750</v>
      </c>
      <c r="F135" s="5" t="s">
        <v>1377</v>
      </c>
      <c r="G135" s="5" t="s">
        <v>361</v>
      </c>
      <c r="H135" s="5"/>
      <c r="I135" s="5" t="s">
        <v>745</v>
      </c>
      <c r="J135" s="5" t="s">
        <v>1378</v>
      </c>
    </row>
    <row r="136" customFormat="false" ht="75" hidden="false" customHeight="true" outlineLevel="0" collapsed="false">
      <c r="A136" s="5" t="s">
        <v>1379</v>
      </c>
      <c r="B136" s="5" t="s">
        <v>366</v>
      </c>
      <c r="C136" s="5" t="s">
        <v>1380</v>
      </c>
      <c r="D136" s="5" t="s">
        <v>729</v>
      </c>
      <c r="E136" s="5" t="s">
        <v>730</v>
      </c>
      <c r="F136" s="5" t="s">
        <v>1381</v>
      </c>
      <c r="G136" s="5" t="s">
        <v>1382</v>
      </c>
      <c r="H136" s="5" t="s">
        <v>1383</v>
      </c>
      <c r="I136" s="5" t="s">
        <v>734</v>
      </c>
      <c r="J136" s="5" t="s">
        <v>1136</v>
      </c>
    </row>
    <row r="137" customFormat="false" ht="75" hidden="false" customHeight="true" outlineLevel="0" collapsed="false">
      <c r="A137" s="5" t="s">
        <v>1384</v>
      </c>
      <c r="B137" s="5" t="s">
        <v>366</v>
      </c>
      <c r="C137" s="5" t="s">
        <v>1385</v>
      </c>
      <c r="D137" s="5" t="s">
        <v>729</v>
      </c>
      <c r="E137" s="5" t="s">
        <v>730</v>
      </c>
      <c r="F137" s="5" t="s">
        <v>1386</v>
      </c>
      <c r="G137" s="5" t="s">
        <v>1387</v>
      </c>
      <c r="H137" s="5" t="s">
        <v>130</v>
      </c>
      <c r="I137" s="5" t="s">
        <v>734</v>
      </c>
      <c r="J137" s="5" t="s">
        <v>1388</v>
      </c>
    </row>
    <row r="138" customFormat="false" ht="75" hidden="false" customHeight="true" outlineLevel="0" collapsed="false">
      <c r="A138" s="5" t="s">
        <v>1389</v>
      </c>
      <c r="B138" s="5" t="s">
        <v>366</v>
      </c>
      <c r="C138" s="5" t="s">
        <v>1390</v>
      </c>
      <c r="D138" s="5" t="s">
        <v>749</v>
      </c>
      <c r="E138" s="5" t="s">
        <v>782</v>
      </c>
      <c r="F138" s="5" t="s">
        <v>1391</v>
      </c>
      <c r="G138" s="5" t="s">
        <v>1392</v>
      </c>
      <c r="H138" s="5"/>
      <c r="I138" s="5" t="s">
        <v>734</v>
      </c>
      <c r="J138" s="5" t="s">
        <v>1393</v>
      </c>
    </row>
    <row r="139" customFormat="false" ht="75" hidden="false" customHeight="true" outlineLevel="0" collapsed="false">
      <c r="A139" s="5" t="s">
        <v>1394</v>
      </c>
      <c r="B139" s="5" t="s">
        <v>366</v>
      </c>
      <c r="C139" s="5" t="s">
        <v>1395</v>
      </c>
      <c r="D139" s="5" t="s">
        <v>729</v>
      </c>
      <c r="E139" s="5" t="s">
        <v>762</v>
      </c>
      <c r="F139" s="5" t="s">
        <v>1396</v>
      </c>
      <c r="G139" s="5" t="s">
        <v>1397</v>
      </c>
      <c r="H139" s="5" t="s">
        <v>178</v>
      </c>
      <c r="I139" s="5" t="s">
        <v>745</v>
      </c>
      <c r="J139" s="5" t="s">
        <v>765</v>
      </c>
    </row>
    <row r="140" customFormat="false" ht="75" hidden="false" customHeight="true" outlineLevel="0" collapsed="false">
      <c r="A140" s="5" t="s">
        <v>1398</v>
      </c>
      <c r="B140" s="5" t="s">
        <v>366</v>
      </c>
      <c r="C140" s="5" t="s">
        <v>1399</v>
      </c>
      <c r="D140" s="5" t="s">
        <v>749</v>
      </c>
      <c r="E140" s="5" t="s">
        <v>782</v>
      </c>
      <c r="F140" s="5" t="s">
        <v>1400</v>
      </c>
      <c r="G140" s="5" t="s">
        <v>1401</v>
      </c>
      <c r="H140" s="5"/>
      <c r="I140" s="5" t="s">
        <v>745</v>
      </c>
      <c r="J140" s="5" t="s">
        <v>765</v>
      </c>
    </row>
    <row r="141" customFormat="false" ht="75" hidden="false" customHeight="true" outlineLevel="0" collapsed="false">
      <c r="A141" s="5" t="s">
        <v>1402</v>
      </c>
      <c r="B141" s="5" t="s">
        <v>366</v>
      </c>
      <c r="C141" s="5" t="s">
        <v>1403</v>
      </c>
      <c r="D141" s="5" t="s">
        <v>749</v>
      </c>
      <c r="E141" s="5" t="s">
        <v>762</v>
      </c>
      <c r="F141" s="5" t="s">
        <v>1404</v>
      </c>
      <c r="G141" s="5" t="s">
        <v>1397</v>
      </c>
      <c r="H141" s="5"/>
      <c r="I141" s="5" t="s">
        <v>734</v>
      </c>
      <c r="J141" s="5" t="s">
        <v>1405</v>
      </c>
    </row>
    <row r="142" customFormat="false" ht="75" hidden="false" customHeight="true" outlineLevel="0" collapsed="false">
      <c r="A142" s="5" t="s">
        <v>1406</v>
      </c>
      <c r="B142" s="5" t="s">
        <v>366</v>
      </c>
      <c r="C142" s="5" t="s">
        <v>1407</v>
      </c>
      <c r="D142" s="5" t="s">
        <v>749</v>
      </c>
      <c r="E142" s="5" t="s">
        <v>782</v>
      </c>
      <c r="F142" s="5" t="s">
        <v>1408</v>
      </c>
      <c r="G142" s="5" t="s">
        <v>1409</v>
      </c>
      <c r="H142" s="5" t="s">
        <v>170</v>
      </c>
      <c r="I142" s="5" t="s">
        <v>745</v>
      </c>
      <c r="J142" s="5" t="s">
        <v>1410</v>
      </c>
    </row>
    <row r="143" customFormat="false" ht="75" hidden="false" customHeight="true" outlineLevel="0" collapsed="false">
      <c r="A143" s="5" t="s">
        <v>1411</v>
      </c>
      <c r="B143" s="5" t="s">
        <v>366</v>
      </c>
      <c r="C143" s="5" t="s">
        <v>1412</v>
      </c>
      <c r="D143" s="5" t="s">
        <v>749</v>
      </c>
      <c r="E143" s="5" t="s">
        <v>782</v>
      </c>
      <c r="F143" s="5" t="s">
        <v>1413</v>
      </c>
      <c r="G143" s="5" t="s">
        <v>1397</v>
      </c>
      <c r="H143" s="5"/>
      <c r="I143" s="5" t="s">
        <v>745</v>
      </c>
      <c r="J143" s="5" t="s">
        <v>1414</v>
      </c>
    </row>
    <row r="144" customFormat="false" ht="75" hidden="false" customHeight="true" outlineLevel="0" collapsed="false">
      <c r="A144" s="5" t="s">
        <v>1415</v>
      </c>
      <c r="B144" s="5" t="s">
        <v>366</v>
      </c>
      <c r="C144" s="5" t="s">
        <v>1416</v>
      </c>
      <c r="D144" s="5" t="s">
        <v>772</v>
      </c>
      <c r="E144" s="5" t="s">
        <v>762</v>
      </c>
      <c r="F144" s="5" t="s">
        <v>1417</v>
      </c>
      <c r="G144" s="5" t="s">
        <v>1397</v>
      </c>
      <c r="H144" s="5"/>
      <c r="I144" s="5" t="s">
        <v>734</v>
      </c>
      <c r="J144" s="5" t="s">
        <v>1418</v>
      </c>
    </row>
    <row r="145" customFormat="false" ht="75" hidden="false" customHeight="true" outlineLevel="0" collapsed="false">
      <c r="A145" s="5" t="s">
        <v>1419</v>
      </c>
      <c r="B145" s="5" t="s">
        <v>366</v>
      </c>
      <c r="C145" s="5" t="s">
        <v>1420</v>
      </c>
      <c r="D145" s="5" t="s">
        <v>772</v>
      </c>
      <c r="E145" s="5" t="s">
        <v>924</v>
      </c>
      <c r="F145" s="5" t="s">
        <v>1421</v>
      </c>
      <c r="G145" s="5" t="s">
        <v>1397</v>
      </c>
      <c r="H145" s="5" t="s">
        <v>186</v>
      </c>
      <c r="I145" s="5" t="s">
        <v>753</v>
      </c>
      <c r="J145" s="5" t="s">
        <v>1422</v>
      </c>
    </row>
    <row r="146" customFormat="false" ht="75" hidden="false" customHeight="true" outlineLevel="0" collapsed="false">
      <c r="A146" s="5" t="s">
        <v>1423</v>
      </c>
      <c r="B146" s="5" t="s">
        <v>366</v>
      </c>
      <c r="C146" s="5" t="s">
        <v>1424</v>
      </c>
      <c r="D146" s="5" t="s">
        <v>772</v>
      </c>
      <c r="E146" s="5" t="s">
        <v>762</v>
      </c>
      <c r="F146" s="5" t="s">
        <v>1425</v>
      </c>
      <c r="G146" s="5" t="s">
        <v>1397</v>
      </c>
      <c r="H146" s="5" t="s">
        <v>1003</v>
      </c>
      <c r="I146" s="5" t="s">
        <v>734</v>
      </c>
      <c r="J146" s="5" t="s">
        <v>1426</v>
      </c>
    </row>
    <row r="147" customFormat="false" ht="75" hidden="false" customHeight="true" outlineLevel="0" collapsed="false">
      <c r="A147" s="5" t="s">
        <v>1427</v>
      </c>
      <c r="B147" s="5" t="s">
        <v>366</v>
      </c>
      <c r="C147" s="5" t="s">
        <v>1428</v>
      </c>
      <c r="D147" s="5" t="s">
        <v>772</v>
      </c>
      <c r="E147" s="5" t="s">
        <v>782</v>
      </c>
      <c r="F147" s="5" t="s">
        <v>1429</v>
      </c>
      <c r="G147" s="5" t="s">
        <v>1430</v>
      </c>
      <c r="H147" s="5"/>
      <c r="I147" s="5" t="s">
        <v>785</v>
      </c>
      <c r="J147" s="5" t="s">
        <v>1431</v>
      </c>
    </row>
    <row r="148" customFormat="false" ht="75" hidden="false" customHeight="true" outlineLevel="0" collapsed="false">
      <c r="A148" s="5" t="s">
        <v>1432</v>
      </c>
      <c r="B148" s="5" t="s">
        <v>366</v>
      </c>
      <c r="C148" s="5" t="s">
        <v>1433</v>
      </c>
      <c r="D148" s="5" t="s">
        <v>729</v>
      </c>
      <c r="E148" s="5" t="s">
        <v>730</v>
      </c>
      <c r="F148" s="5" t="s">
        <v>1434</v>
      </c>
      <c r="G148" s="5" t="s">
        <v>1387</v>
      </c>
      <c r="H148" s="5"/>
      <c r="I148" s="5" t="s">
        <v>785</v>
      </c>
      <c r="J148" s="5" t="s">
        <v>1435</v>
      </c>
    </row>
    <row r="149" customFormat="false" ht="75" hidden="false" customHeight="true" outlineLevel="0" collapsed="false">
      <c r="A149" s="5" t="s">
        <v>1436</v>
      </c>
      <c r="B149" s="5" t="s">
        <v>366</v>
      </c>
      <c r="C149" s="5" t="s">
        <v>1437</v>
      </c>
      <c r="D149" s="5" t="s">
        <v>729</v>
      </c>
      <c r="E149" s="5" t="s">
        <v>730</v>
      </c>
      <c r="F149" s="5" t="s">
        <v>1438</v>
      </c>
      <c r="G149" s="5" t="s">
        <v>1387</v>
      </c>
      <c r="H149" s="5" t="s">
        <v>1439</v>
      </c>
      <c r="I149" s="5" t="s">
        <v>745</v>
      </c>
      <c r="J149" s="5" t="s">
        <v>765</v>
      </c>
    </row>
    <row r="150" customFormat="false" ht="75" hidden="false" customHeight="true" outlineLevel="0" collapsed="false">
      <c r="A150" s="5" t="s">
        <v>1440</v>
      </c>
      <c r="B150" s="5" t="s">
        <v>366</v>
      </c>
      <c r="C150" s="5" t="s">
        <v>1441</v>
      </c>
      <c r="D150" s="5" t="s">
        <v>772</v>
      </c>
      <c r="E150" s="5" t="s">
        <v>888</v>
      </c>
      <c r="F150" s="5" t="s">
        <v>1442</v>
      </c>
      <c r="G150" s="5" t="s">
        <v>1443</v>
      </c>
      <c r="H150" s="5"/>
      <c r="I150" s="5" t="s">
        <v>745</v>
      </c>
      <c r="J150" s="5" t="s">
        <v>1444</v>
      </c>
    </row>
    <row r="151" customFormat="false" ht="75" hidden="false" customHeight="true" outlineLevel="0" collapsed="false">
      <c r="A151" s="5" t="s">
        <v>1445</v>
      </c>
      <c r="B151" s="5" t="s">
        <v>366</v>
      </c>
      <c r="C151" s="5" t="s">
        <v>1446</v>
      </c>
      <c r="D151" s="5" t="s">
        <v>729</v>
      </c>
      <c r="E151" s="5" t="s">
        <v>730</v>
      </c>
      <c r="F151" s="5" t="s">
        <v>1447</v>
      </c>
      <c r="G151" s="5" t="s">
        <v>1448</v>
      </c>
      <c r="H151" s="5"/>
      <c r="I151" s="5" t="s">
        <v>745</v>
      </c>
      <c r="J151" s="5" t="s">
        <v>1449</v>
      </c>
    </row>
    <row r="152" customFormat="false" ht="75" hidden="false" customHeight="true" outlineLevel="0" collapsed="false">
      <c r="A152" s="5" t="s">
        <v>1450</v>
      </c>
      <c r="B152" s="5" t="s">
        <v>366</v>
      </c>
      <c r="C152" s="5" t="s">
        <v>1451</v>
      </c>
      <c r="D152" s="5" t="s">
        <v>749</v>
      </c>
      <c r="E152" s="5" t="s">
        <v>789</v>
      </c>
      <c r="F152" s="5" t="s">
        <v>1452</v>
      </c>
      <c r="G152" s="5" t="s">
        <v>370</v>
      </c>
      <c r="H152" s="5"/>
      <c r="I152" s="5" t="s">
        <v>753</v>
      </c>
      <c r="J152" s="5" t="s">
        <v>1453</v>
      </c>
    </row>
    <row r="153" customFormat="false" ht="75" hidden="false" customHeight="true" outlineLevel="0" collapsed="false">
      <c r="A153" s="5" t="s">
        <v>1454</v>
      </c>
      <c r="B153" s="5" t="s">
        <v>366</v>
      </c>
      <c r="C153" s="5" t="s">
        <v>1455</v>
      </c>
      <c r="D153" s="5" t="s">
        <v>729</v>
      </c>
      <c r="E153" s="5" t="s">
        <v>750</v>
      </c>
      <c r="F153" s="5" t="s">
        <v>1456</v>
      </c>
      <c r="G153" s="5" t="s">
        <v>370</v>
      </c>
      <c r="H153" s="5"/>
      <c r="I153" s="5" t="s">
        <v>745</v>
      </c>
      <c r="J153" s="5" t="s">
        <v>1457</v>
      </c>
    </row>
    <row r="154" customFormat="false" ht="75" hidden="false" customHeight="true" outlineLevel="0" collapsed="false">
      <c r="A154" s="5" t="s">
        <v>1458</v>
      </c>
      <c r="B154" s="5" t="s">
        <v>375</v>
      </c>
      <c r="C154" s="5" t="s">
        <v>1459</v>
      </c>
      <c r="D154" s="5" t="s">
        <v>729</v>
      </c>
      <c r="E154" s="5" t="s">
        <v>730</v>
      </c>
      <c r="F154" s="5" t="s">
        <v>1460</v>
      </c>
      <c r="G154" s="5" t="s">
        <v>1461</v>
      </c>
      <c r="H154" s="5" t="s">
        <v>1462</v>
      </c>
      <c r="I154" s="5" t="s">
        <v>745</v>
      </c>
      <c r="J154" s="5" t="s">
        <v>1463</v>
      </c>
    </row>
    <row r="155" customFormat="false" ht="75" hidden="false" customHeight="true" outlineLevel="0" collapsed="false">
      <c r="A155" s="5" t="s">
        <v>1464</v>
      </c>
      <c r="B155" s="5" t="s">
        <v>375</v>
      </c>
      <c r="C155" s="5" t="s">
        <v>1465</v>
      </c>
      <c r="D155" s="5" t="s">
        <v>749</v>
      </c>
      <c r="E155" s="5" t="s">
        <v>730</v>
      </c>
      <c r="F155" s="5" t="s">
        <v>1466</v>
      </c>
      <c r="G155" s="5" t="s">
        <v>1467</v>
      </c>
      <c r="H155" s="5" t="s">
        <v>82</v>
      </c>
      <c r="I155" s="5" t="s">
        <v>734</v>
      </c>
      <c r="J155" s="5" t="s">
        <v>1468</v>
      </c>
    </row>
    <row r="156" customFormat="false" ht="75" hidden="false" customHeight="true" outlineLevel="0" collapsed="false">
      <c r="A156" s="5" t="s">
        <v>1469</v>
      </c>
      <c r="B156" s="5" t="s">
        <v>375</v>
      </c>
      <c r="C156" s="5" t="s">
        <v>1470</v>
      </c>
      <c r="D156" s="5" t="s">
        <v>772</v>
      </c>
      <c r="E156" s="5" t="s">
        <v>730</v>
      </c>
      <c r="F156" s="5" t="s">
        <v>1471</v>
      </c>
      <c r="G156" s="5" t="s">
        <v>1472</v>
      </c>
      <c r="H156" s="5" t="s">
        <v>57</v>
      </c>
      <c r="I156" s="5" t="s">
        <v>734</v>
      </c>
      <c r="J156" s="5" t="s">
        <v>1136</v>
      </c>
    </row>
    <row r="157" customFormat="false" ht="75" hidden="false" customHeight="true" outlineLevel="0" collapsed="false">
      <c r="A157" s="5" t="s">
        <v>1473</v>
      </c>
      <c r="B157" s="5" t="s">
        <v>375</v>
      </c>
      <c r="C157" s="5" t="s">
        <v>1474</v>
      </c>
      <c r="D157" s="5" t="s">
        <v>729</v>
      </c>
      <c r="E157" s="5" t="s">
        <v>762</v>
      </c>
      <c r="F157" s="5" t="s">
        <v>1475</v>
      </c>
      <c r="G157" s="5" t="s">
        <v>1476</v>
      </c>
      <c r="H157" s="5" t="s">
        <v>178</v>
      </c>
      <c r="I157" s="5" t="s">
        <v>745</v>
      </c>
      <c r="J157" s="5" t="s">
        <v>765</v>
      </c>
    </row>
    <row r="158" customFormat="false" ht="75" hidden="false" customHeight="true" outlineLevel="0" collapsed="false">
      <c r="A158" s="5" t="s">
        <v>1477</v>
      </c>
      <c r="B158" s="5" t="s">
        <v>375</v>
      </c>
      <c r="C158" s="5" t="s">
        <v>1478</v>
      </c>
      <c r="D158" s="5" t="s">
        <v>749</v>
      </c>
      <c r="E158" s="5" t="s">
        <v>762</v>
      </c>
      <c r="F158" s="5" t="s">
        <v>1479</v>
      </c>
      <c r="G158" s="5" t="s">
        <v>1476</v>
      </c>
      <c r="H158" s="5"/>
      <c r="I158" s="5" t="s">
        <v>745</v>
      </c>
      <c r="J158" s="5" t="s">
        <v>765</v>
      </c>
    </row>
    <row r="159" customFormat="false" ht="75" hidden="false" customHeight="true" outlineLevel="0" collapsed="false">
      <c r="A159" s="5" t="s">
        <v>1480</v>
      </c>
      <c r="B159" s="5" t="s">
        <v>375</v>
      </c>
      <c r="C159" s="5" t="s">
        <v>1481</v>
      </c>
      <c r="D159" s="5" t="s">
        <v>749</v>
      </c>
      <c r="E159" s="5" t="s">
        <v>762</v>
      </c>
      <c r="F159" s="5" t="s">
        <v>1482</v>
      </c>
      <c r="G159" s="5" t="s">
        <v>379</v>
      </c>
      <c r="H159" s="5"/>
      <c r="I159" s="5" t="s">
        <v>745</v>
      </c>
      <c r="J159" s="5" t="s">
        <v>765</v>
      </c>
    </row>
    <row r="160" customFormat="false" ht="75" hidden="false" customHeight="true" outlineLevel="0" collapsed="false">
      <c r="A160" s="5" t="s">
        <v>1483</v>
      </c>
      <c r="B160" s="5" t="s">
        <v>375</v>
      </c>
      <c r="C160" s="5" t="s">
        <v>1484</v>
      </c>
      <c r="D160" s="5" t="s">
        <v>749</v>
      </c>
      <c r="E160" s="5" t="s">
        <v>888</v>
      </c>
      <c r="F160" s="5" t="s">
        <v>1485</v>
      </c>
      <c r="G160" s="5" t="s">
        <v>1472</v>
      </c>
      <c r="H160" s="5"/>
      <c r="I160" s="5" t="s">
        <v>745</v>
      </c>
      <c r="J160" s="5" t="s">
        <v>1486</v>
      </c>
    </row>
    <row r="161" customFormat="false" ht="75" hidden="false" customHeight="true" outlineLevel="0" collapsed="false">
      <c r="A161" s="5" t="s">
        <v>1487</v>
      </c>
      <c r="B161" s="5" t="s">
        <v>375</v>
      </c>
      <c r="C161" s="5" t="s">
        <v>1488</v>
      </c>
      <c r="D161" s="5" t="s">
        <v>749</v>
      </c>
      <c r="E161" s="5" t="s">
        <v>750</v>
      </c>
      <c r="F161" s="5" t="s">
        <v>1489</v>
      </c>
      <c r="G161" s="5" t="s">
        <v>379</v>
      </c>
      <c r="H161" s="5" t="s">
        <v>1212</v>
      </c>
      <c r="I161" s="5" t="s">
        <v>753</v>
      </c>
      <c r="J161" s="5" t="s">
        <v>1490</v>
      </c>
    </row>
    <row r="162" customFormat="false" ht="75" hidden="false" customHeight="true" outlineLevel="0" collapsed="false">
      <c r="A162" s="5" t="s">
        <v>1491</v>
      </c>
      <c r="B162" s="5" t="s">
        <v>375</v>
      </c>
      <c r="C162" s="5" t="s">
        <v>1492</v>
      </c>
      <c r="D162" s="5" t="s">
        <v>729</v>
      </c>
      <c r="E162" s="5" t="s">
        <v>750</v>
      </c>
      <c r="F162" s="5" t="s">
        <v>1493</v>
      </c>
      <c r="G162" s="5" t="s">
        <v>379</v>
      </c>
      <c r="H162" s="5" t="s">
        <v>106</v>
      </c>
      <c r="I162" s="5" t="s">
        <v>753</v>
      </c>
      <c r="J162" s="5" t="s">
        <v>832</v>
      </c>
    </row>
    <row r="163" customFormat="false" ht="75" hidden="false" customHeight="true" outlineLevel="0" collapsed="false">
      <c r="A163" s="5" t="s">
        <v>1494</v>
      </c>
      <c r="B163" s="5" t="s">
        <v>375</v>
      </c>
      <c r="C163" s="5" t="s">
        <v>1495</v>
      </c>
      <c r="D163" s="5" t="s">
        <v>729</v>
      </c>
      <c r="E163" s="5" t="s">
        <v>730</v>
      </c>
      <c r="F163" s="5" t="s">
        <v>1496</v>
      </c>
      <c r="G163" s="5" t="s">
        <v>379</v>
      </c>
      <c r="H163" s="5" t="s">
        <v>138</v>
      </c>
      <c r="I163" s="5" t="s">
        <v>753</v>
      </c>
      <c r="J163" s="5" t="s">
        <v>1497</v>
      </c>
    </row>
    <row r="164" customFormat="false" ht="75" hidden="false" customHeight="true" outlineLevel="0" collapsed="false">
      <c r="A164" s="5" t="s">
        <v>1498</v>
      </c>
      <c r="B164" s="5" t="s">
        <v>375</v>
      </c>
      <c r="C164" s="5" t="s">
        <v>1499</v>
      </c>
      <c r="D164" s="5" t="s">
        <v>749</v>
      </c>
      <c r="E164" s="5" t="s">
        <v>789</v>
      </c>
      <c r="F164" s="5" t="s">
        <v>1500</v>
      </c>
      <c r="G164" s="5" t="s">
        <v>379</v>
      </c>
      <c r="H164" s="5" t="s">
        <v>186</v>
      </c>
      <c r="I164" s="5" t="s">
        <v>753</v>
      </c>
      <c r="J164" s="5" t="s">
        <v>1501</v>
      </c>
    </row>
    <row r="165" customFormat="false" ht="75" hidden="false" customHeight="true" outlineLevel="0" collapsed="false">
      <c r="A165" s="5" t="s">
        <v>1502</v>
      </c>
      <c r="B165" s="5" t="s">
        <v>375</v>
      </c>
      <c r="C165" s="5" t="s">
        <v>1503</v>
      </c>
      <c r="D165" s="5" t="s">
        <v>729</v>
      </c>
      <c r="E165" s="5" t="s">
        <v>802</v>
      </c>
      <c r="F165" s="5" t="s">
        <v>1504</v>
      </c>
      <c r="G165" s="5" t="s">
        <v>1505</v>
      </c>
      <c r="H165" s="5"/>
      <c r="I165" s="5" t="s">
        <v>745</v>
      </c>
      <c r="J165" s="5" t="s">
        <v>1506</v>
      </c>
    </row>
    <row r="166" customFormat="false" ht="75" hidden="false" customHeight="true" outlineLevel="0" collapsed="false">
      <c r="A166" s="5" t="s">
        <v>1507</v>
      </c>
      <c r="B166" s="5" t="s">
        <v>375</v>
      </c>
      <c r="C166" s="5" t="s">
        <v>1508</v>
      </c>
      <c r="D166" s="5" t="s">
        <v>772</v>
      </c>
      <c r="E166" s="5" t="s">
        <v>762</v>
      </c>
      <c r="F166" s="5" t="s">
        <v>1509</v>
      </c>
      <c r="G166" s="5" t="s">
        <v>379</v>
      </c>
      <c r="H166" s="5"/>
      <c r="I166" s="5" t="s">
        <v>734</v>
      </c>
      <c r="J166" s="5" t="s">
        <v>1510</v>
      </c>
    </row>
    <row r="167" customFormat="false" ht="75" hidden="false" customHeight="true" outlineLevel="0" collapsed="false">
      <c r="A167" s="5" t="s">
        <v>1511</v>
      </c>
      <c r="B167" s="5" t="s">
        <v>375</v>
      </c>
      <c r="C167" s="5" t="s">
        <v>1512</v>
      </c>
      <c r="D167" s="5" t="s">
        <v>729</v>
      </c>
      <c r="E167" s="5" t="s">
        <v>750</v>
      </c>
      <c r="F167" s="5" t="s">
        <v>1513</v>
      </c>
      <c r="G167" s="5" t="s">
        <v>1472</v>
      </c>
      <c r="H167" s="5" t="s">
        <v>162</v>
      </c>
      <c r="I167" s="5" t="s">
        <v>734</v>
      </c>
      <c r="J167" s="5" t="s">
        <v>963</v>
      </c>
    </row>
    <row r="168" customFormat="false" ht="75" hidden="false" customHeight="true" outlineLevel="0" collapsed="false">
      <c r="A168" s="5" t="s">
        <v>1514</v>
      </c>
      <c r="B168" s="5" t="s">
        <v>384</v>
      </c>
      <c r="C168" s="5" t="s">
        <v>1259</v>
      </c>
      <c r="D168" s="5" t="s">
        <v>729</v>
      </c>
      <c r="E168" s="5" t="s">
        <v>730</v>
      </c>
      <c r="F168" s="5" t="s">
        <v>1515</v>
      </c>
      <c r="G168" s="5" t="s">
        <v>1516</v>
      </c>
      <c r="H168" s="5" t="s">
        <v>82</v>
      </c>
      <c r="I168" s="5" t="s">
        <v>734</v>
      </c>
      <c r="J168" s="5" t="s">
        <v>973</v>
      </c>
    </row>
    <row r="169" customFormat="false" ht="75" hidden="false" customHeight="true" outlineLevel="0" collapsed="false">
      <c r="A169" s="5" t="s">
        <v>1517</v>
      </c>
      <c r="B169" s="5" t="s">
        <v>384</v>
      </c>
      <c r="C169" s="5" t="s">
        <v>1518</v>
      </c>
      <c r="D169" s="5" t="s">
        <v>729</v>
      </c>
      <c r="E169" s="5" t="s">
        <v>730</v>
      </c>
      <c r="F169" s="5" t="s">
        <v>1519</v>
      </c>
      <c r="G169" s="5" t="s">
        <v>1520</v>
      </c>
      <c r="H169" s="5"/>
      <c r="I169" s="5" t="s">
        <v>745</v>
      </c>
      <c r="J169" s="5" t="s">
        <v>1521</v>
      </c>
    </row>
    <row r="170" customFormat="false" ht="75" hidden="false" customHeight="true" outlineLevel="0" collapsed="false">
      <c r="A170" s="5" t="s">
        <v>1522</v>
      </c>
      <c r="B170" s="5" t="s">
        <v>384</v>
      </c>
      <c r="C170" s="5" t="s">
        <v>1523</v>
      </c>
      <c r="D170" s="5" t="s">
        <v>729</v>
      </c>
      <c r="E170" s="5" t="s">
        <v>750</v>
      </c>
      <c r="F170" s="5" t="s">
        <v>1524</v>
      </c>
      <c r="G170" s="5" t="s">
        <v>1525</v>
      </c>
      <c r="H170" s="5"/>
      <c r="I170" s="5" t="s">
        <v>745</v>
      </c>
      <c r="J170" s="5" t="s">
        <v>1526</v>
      </c>
    </row>
    <row r="171" customFormat="false" ht="75" hidden="false" customHeight="true" outlineLevel="0" collapsed="false">
      <c r="A171" s="5" t="s">
        <v>1527</v>
      </c>
      <c r="B171" s="5" t="s">
        <v>384</v>
      </c>
      <c r="C171" s="5" t="s">
        <v>1528</v>
      </c>
      <c r="D171" s="5" t="s">
        <v>729</v>
      </c>
      <c r="E171" s="5" t="s">
        <v>782</v>
      </c>
      <c r="F171" s="5" t="s">
        <v>1529</v>
      </c>
      <c r="G171" s="5" t="s">
        <v>1530</v>
      </c>
      <c r="H171" s="5" t="s">
        <v>170</v>
      </c>
      <c r="I171" s="5" t="s">
        <v>745</v>
      </c>
      <c r="J171" s="5" t="s">
        <v>1531</v>
      </c>
    </row>
    <row r="172" customFormat="false" ht="75" hidden="false" customHeight="true" outlineLevel="0" collapsed="false">
      <c r="A172" s="5" t="s">
        <v>1532</v>
      </c>
      <c r="B172" s="5" t="s">
        <v>384</v>
      </c>
      <c r="C172" s="5" t="s">
        <v>1533</v>
      </c>
      <c r="D172" s="5" t="s">
        <v>729</v>
      </c>
      <c r="E172" s="5" t="s">
        <v>730</v>
      </c>
      <c r="F172" s="5" t="s">
        <v>1534</v>
      </c>
      <c r="G172" s="5" t="s">
        <v>387</v>
      </c>
      <c r="H172" s="5"/>
      <c r="I172" s="5" t="s">
        <v>745</v>
      </c>
      <c r="J172" s="5" t="s">
        <v>1535</v>
      </c>
    </row>
    <row r="173" customFormat="false" ht="75" hidden="false" customHeight="true" outlineLevel="0" collapsed="false">
      <c r="A173" s="5" t="s">
        <v>1536</v>
      </c>
      <c r="B173" s="5" t="s">
        <v>384</v>
      </c>
      <c r="C173" s="5" t="s">
        <v>1537</v>
      </c>
      <c r="D173" s="5" t="s">
        <v>749</v>
      </c>
      <c r="E173" s="5" t="s">
        <v>762</v>
      </c>
      <c r="F173" s="5" t="s">
        <v>1538</v>
      </c>
      <c r="G173" s="5" t="s">
        <v>1539</v>
      </c>
      <c r="H173" s="5" t="s">
        <v>178</v>
      </c>
      <c r="I173" s="5" t="s">
        <v>745</v>
      </c>
      <c r="J173" s="5" t="s">
        <v>765</v>
      </c>
    </row>
    <row r="174" customFormat="false" ht="75" hidden="false" customHeight="true" outlineLevel="0" collapsed="false">
      <c r="A174" s="5" t="s">
        <v>1540</v>
      </c>
      <c r="B174" s="5" t="s">
        <v>384</v>
      </c>
      <c r="C174" s="5" t="s">
        <v>1541</v>
      </c>
      <c r="D174" s="5" t="s">
        <v>729</v>
      </c>
      <c r="E174" s="5" t="s">
        <v>789</v>
      </c>
      <c r="F174" s="5" t="s">
        <v>1542</v>
      </c>
      <c r="G174" s="5" t="s">
        <v>1530</v>
      </c>
      <c r="H174" s="5" t="s">
        <v>194</v>
      </c>
      <c r="I174" s="5" t="s">
        <v>753</v>
      </c>
      <c r="J174" s="5" t="s">
        <v>1543</v>
      </c>
    </row>
    <row r="175" customFormat="false" ht="75" hidden="false" customHeight="true" outlineLevel="0" collapsed="false">
      <c r="A175" s="5" t="s">
        <v>1544</v>
      </c>
      <c r="B175" s="5" t="s">
        <v>384</v>
      </c>
      <c r="C175" s="5" t="s">
        <v>1545</v>
      </c>
      <c r="D175" s="5" t="s">
        <v>729</v>
      </c>
      <c r="E175" s="5" t="s">
        <v>730</v>
      </c>
      <c r="F175" s="5" t="s">
        <v>1546</v>
      </c>
      <c r="G175" s="5" t="s">
        <v>1525</v>
      </c>
      <c r="H175" s="5" t="s">
        <v>106</v>
      </c>
      <c r="I175" s="5" t="s">
        <v>745</v>
      </c>
      <c r="J175" s="5" t="s">
        <v>1547</v>
      </c>
    </row>
    <row r="176" customFormat="false" ht="75" hidden="false" customHeight="true" outlineLevel="0" collapsed="false">
      <c r="A176" s="5" t="s">
        <v>1548</v>
      </c>
      <c r="B176" s="5" t="s">
        <v>384</v>
      </c>
      <c r="C176" s="5" t="s">
        <v>1549</v>
      </c>
      <c r="D176" s="5" t="s">
        <v>729</v>
      </c>
      <c r="E176" s="5" t="s">
        <v>750</v>
      </c>
      <c r="F176" s="5" t="s">
        <v>1550</v>
      </c>
      <c r="G176" s="5" t="s">
        <v>387</v>
      </c>
      <c r="H176" s="5"/>
      <c r="I176" s="5" t="s">
        <v>745</v>
      </c>
      <c r="J176" s="5" t="s">
        <v>1551</v>
      </c>
    </row>
    <row r="177" customFormat="false" ht="75" hidden="false" customHeight="true" outlineLevel="0" collapsed="false">
      <c r="A177" s="5" t="s">
        <v>1552</v>
      </c>
      <c r="B177" s="5" t="s">
        <v>392</v>
      </c>
      <c r="C177" s="5" t="s">
        <v>1553</v>
      </c>
      <c r="D177" s="5" t="s">
        <v>729</v>
      </c>
      <c r="E177" s="5" t="s">
        <v>730</v>
      </c>
      <c r="F177" s="5" t="s">
        <v>1554</v>
      </c>
      <c r="G177" s="5" t="s">
        <v>1555</v>
      </c>
      <c r="H177" s="5" t="s">
        <v>170</v>
      </c>
      <c r="I177" s="5" t="s">
        <v>745</v>
      </c>
      <c r="J177" s="5" t="s">
        <v>1556</v>
      </c>
    </row>
    <row r="178" customFormat="false" ht="75" hidden="false" customHeight="true" outlineLevel="0" collapsed="false">
      <c r="A178" s="5" t="s">
        <v>1557</v>
      </c>
      <c r="B178" s="5" t="s">
        <v>392</v>
      </c>
      <c r="C178" s="5" t="s">
        <v>1558</v>
      </c>
      <c r="D178" s="5" t="s">
        <v>729</v>
      </c>
      <c r="E178" s="5" t="s">
        <v>730</v>
      </c>
      <c r="F178" s="5" t="s">
        <v>1559</v>
      </c>
      <c r="G178" s="5" t="s">
        <v>1560</v>
      </c>
      <c r="H178" s="5" t="s">
        <v>82</v>
      </c>
      <c r="I178" s="5" t="s">
        <v>734</v>
      </c>
      <c r="J178" s="5" t="s">
        <v>1561</v>
      </c>
    </row>
    <row r="179" customFormat="false" ht="75" hidden="false" customHeight="true" outlineLevel="0" collapsed="false">
      <c r="A179" s="5" t="s">
        <v>1562</v>
      </c>
      <c r="B179" s="5" t="s">
        <v>392</v>
      </c>
      <c r="C179" s="5" t="s">
        <v>1563</v>
      </c>
      <c r="D179" s="5" t="s">
        <v>729</v>
      </c>
      <c r="E179" s="5" t="s">
        <v>782</v>
      </c>
      <c r="F179" s="5" t="s">
        <v>1564</v>
      </c>
      <c r="G179" s="5" t="s">
        <v>1555</v>
      </c>
      <c r="H179" s="5"/>
      <c r="I179" s="5" t="s">
        <v>734</v>
      </c>
      <c r="J179" s="5" t="s">
        <v>1565</v>
      </c>
    </row>
    <row r="180" customFormat="false" ht="75" hidden="false" customHeight="true" outlineLevel="0" collapsed="false">
      <c r="A180" s="5" t="s">
        <v>1566</v>
      </c>
      <c r="B180" s="5" t="s">
        <v>392</v>
      </c>
      <c r="C180" s="5" t="s">
        <v>1567</v>
      </c>
      <c r="D180" s="5" t="s">
        <v>729</v>
      </c>
      <c r="E180" s="5" t="s">
        <v>762</v>
      </c>
      <c r="F180" s="5" t="s">
        <v>1568</v>
      </c>
      <c r="G180" s="5" t="s">
        <v>1569</v>
      </c>
      <c r="H180" s="5" t="s">
        <v>1570</v>
      </c>
      <c r="I180" s="5" t="s">
        <v>745</v>
      </c>
      <c r="J180" s="5" t="s">
        <v>765</v>
      </c>
    </row>
    <row r="181" customFormat="false" ht="75" hidden="false" customHeight="true" outlineLevel="0" collapsed="false">
      <c r="A181" s="5" t="s">
        <v>1571</v>
      </c>
      <c r="B181" s="5" t="s">
        <v>392</v>
      </c>
      <c r="C181" s="5" t="s">
        <v>1572</v>
      </c>
      <c r="D181" s="5" t="s">
        <v>729</v>
      </c>
      <c r="E181" s="5" t="s">
        <v>762</v>
      </c>
      <c r="F181" s="5" t="s">
        <v>1573</v>
      </c>
      <c r="G181" s="5" t="s">
        <v>1555</v>
      </c>
      <c r="H181" s="5" t="s">
        <v>178</v>
      </c>
      <c r="I181" s="5" t="s">
        <v>745</v>
      </c>
      <c r="J181" s="5" t="s">
        <v>765</v>
      </c>
    </row>
    <row r="182" customFormat="false" ht="75" hidden="false" customHeight="true" outlineLevel="0" collapsed="false">
      <c r="A182" s="5" t="s">
        <v>1574</v>
      </c>
      <c r="B182" s="5" t="s">
        <v>392</v>
      </c>
      <c r="C182" s="5" t="s">
        <v>1575</v>
      </c>
      <c r="D182" s="5" t="s">
        <v>729</v>
      </c>
      <c r="E182" s="5" t="s">
        <v>789</v>
      </c>
      <c r="F182" s="5" t="s">
        <v>1576</v>
      </c>
      <c r="G182" s="5" t="s">
        <v>1577</v>
      </c>
      <c r="H182" s="5" t="s">
        <v>194</v>
      </c>
      <c r="I182" s="5" t="s">
        <v>753</v>
      </c>
      <c r="J182" s="5" t="s">
        <v>1578</v>
      </c>
    </row>
    <row r="183" customFormat="false" ht="75" hidden="false" customHeight="true" outlineLevel="0" collapsed="false">
      <c r="A183" s="5" t="s">
        <v>1579</v>
      </c>
      <c r="B183" s="5" t="s">
        <v>392</v>
      </c>
      <c r="C183" s="5" t="s">
        <v>1580</v>
      </c>
      <c r="D183" s="5" t="s">
        <v>772</v>
      </c>
      <c r="E183" s="5" t="s">
        <v>789</v>
      </c>
      <c r="F183" s="5" t="s">
        <v>1581</v>
      </c>
      <c r="G183" s="5" t="s">
        <v>1582</v>
      </c>
      <c r="H183" s="5" t="s">
        <v>1583</v>
      </c>
      <c r="I183" s="5" t="s">
        <v>753</v>
      </c>
      <c r="J183" s="5" t="s">
        <v>1584</v>
      </c>
    </row>
    <row r="184" customFormat="false" ht="75" hidden="false" customHeight="true" outlineLevel="0" collapsed="false">
      <c r="A184" s="5" t="s">
        <v>1585</v>
      </c>
      <c r="B184" s="5" t="s">
        <v>392</v>
      </c>
      <c r="C184" s="5" t="s">
        <v>1586</v>
      </c>
      <c r="D184" s="5" t="s">
        <v>749</v>
      </c>
      <c r="E184" s="5" t="s">
        <v>888</v>
      </c>
      <c r="F184" s="5" t="s">
        <v>1587</v>
      </c>
      <c r="G184" s="5" t="s">
        <v>1588</v>
      </c>
      <c r="H184" s="5" t="s">
        <v>122</v>
      </c>
      <c r="I184" s="5" t="s">
        <v>753</v>
      </c>
      <c r="J184" s="5" t="s">
        <v>1589</v>
      </c>
    </row>
    <row r="185" customFormat="false" ht="75" hidden="false" customHeight="true" outlineLevel="0" collapsed="false">
      <c r="A185" s="5" t="s">
        <v>1590</v>
      </c>
      <c r="B185" s="5" t="s">
        <v>392</v>
      </c>
      <c r="C185" s="5" t="s">
        <v>1591</v>
      </c>
      <c r="D185" s="5" t="s">
        <v>729</v>
      </c>
      <c r="E185" s="5" t="s">
        <v>730</v>
      </c>
      <c r="F185" s="5" t="s">
        <v>1592</v>
      </c>
      <c r="G185" s="5" t="s">
        <v>1593</v>
      </c>
      <c r="H185" s="5"/>
      <c r="I185" s="5" t="s">
        <v>745</v>
      </c>
      <c r="J185" s="5" t="s">
        <v>1594</v>
      </c>
    </row>
    <row r="186" customFormat="false" ht="75" hidden="false" customHeight="true" outlineLevel="0" collapsed="false">
      <c r="A186" s="5" t="s">
        <v>1595</v>
      </c>
      <c r="B186" s="5" t="s">
        <v>392</v>
      </c>
      <c r="C186" s="5" t="s">
        <v>1596</v>
      </c>
      <c r="D186" s="5" t="s">
        <v>729</v>
      </c>
      <c r="E186" s="5" t="s">
        <v>789</v>
      </c>
      <c r="F186" s="5" t="s">
        <v>1597</v>
      </c>
      <c r="G186" s="5" t="s">
        <v>1555</v>
      </c>
      <c r="H186" s="5"/>
      <c r="I186" s="5" t="s">
        <v>734</v>
      </c>
      <c r="J186" s="5" t="s">
        <v>1598</v>
      </c>
    </row>
    <row r="187" customFormat="false" ht="75" hidden="false" customHeight="true" outlineLevel="0" collapsed="false">
      <c r="A187" s="5" t="s">
        <v>1599</v>
      </c>
      <c r="B187" s="5" t="s">
        <v>392</v>
      </c>
      <c r="C187" s="5" t="s">
        <v>1600</v>
      </c>
      <c r="D187" s="5" t="s">
        <v>729</v>
      </c>
      <c r="E187" s="5" t="s">
        <v>750</v>
      </c>
      <c r="F187" s="5" t="s">
        <v>1601</v>
      </c>
      <c r="G187" s="5" t="s">
        <v>1602</v>
      </c>
      <c r="H187" s="5" t="s">
        <v>234</v>
      </c>
      <c r="I187" s="5" t="s">
        <v>745</v>
      </c>
      <c r="J187" s="5" t="s">
        <v>1603</v>
      </c>
    </row>
    <row r="188" customFormat="false" ht="75" hidden="false" customHeight="true" outlineLevel="0" collapsed="false">
      <c r="A188" s="5" t="s">
        <v>1604</v>
      </c>
      <c r="B188" s="5" t="s">
        <v>392</v>
      </c>
      <c r="C188" s="5" t="s">
        <v>1605</v>
      </c>
      <c r="D188" s="5" t="s">
        <v>749</v>
      </c>
      <c r="E188" s="5" t="s">
        <v>750</v>
      </c>
      <c r="F188" s="5" t="s">
        <v>1606</v>
      </c>
      <c r="G188" s="5" t="s">
        <v>395</v>
      </c>
      <c r="H188" s="5" t="s">
        <v>154</v>
      </c>
      <c r="I188" s="5" t="s">
        <v>745</v>
      </c>
      <c r="J188" s="5" t="s">
        <v>1607</v>
      </c>
    </row>
    <row r="189" customFormat="false" ht="75" hidden="false" customHeight="true" outlineLevel="0" collapsed="false">
      <c r="A189" s="5" t="s">
        <v>1608</v>
      </c>
      <c r="B189" s="5" t="s">
        <v>392</v>
      </c>
      <c r="C189" s="5" t="s">
        <v>1609</v>
      </c>
      <c r="D189" s="5" t="s">
        <v>729</v>
      </c>
      <c r="E189" s="5" t="s">
        <v>924</v>
      </c>
      <c r="F189" s="5" t="s">
        <v>1610</v>
      </c>
      <c r="G189" s="5" t="s">
        <v>395</v>
      </c>
      <c r="H189" s="5" t="s">
        <v>1611</v>
      </c>
      <c r="I189" s="5" t="s">
        <v>734</v>
      </c>
      <c r="J189" s="5" t="s">
        <v>1612</v>
      </c>
    </row>
    <row r="190" customFormat="false" ht="75" hidden="false" customHeight="true" outlineLevel="0" collapsed="false">
      <c r="A190" s="5" t="s">
        <v>1613</v>
      </c>
      <c r="B190" s="5" t="s">
        <v>392</v>
      </c>
      <c r="C190" s="5" t="s">
        <v>1614</v>
      </c>
      <c r="D190" s="5" t="s">
        <v>729</v>
      </c>
      <c r="E190" s="5" t="s">
        <v>730</v>
      </c>
      <c r="F190" s="5" t="s">
        <v>1615</v>
      </c>
      <c r="G190" s="5" t="s">
        <v>1616</v>
      </c>
      <c r="H190" s="5" t="s">
        <v>138</v>
      </c>
      <c r="I190" s="5" t="s">
        <v>753</v>
      </c>
      <c r="J190" s="5" t="s">
        <v>1617</v>
      </c>
    </row>
    <row r="191" customFormat="false" ht="75" hidden="false" customHeight="true" outlineLevel="0" collapsed="false">
      <c r="A191" s="5" t="s">
        <v>1618</v>
      </c>
      <c r="B191" s="5" t="s">
        <v>400</v>
      </c>
      <c r="C191" s="5" t="s">
        <v>1619</v>
      </c>
      <c r="D191" s="5" t="s">
        <v>729</v>
      </c>
      <c r="E191" s="5" t="s">
        <v>730</v>
      </c>
      <c r="F191" s="5" t="s">
        <v>1620</v>
      </c>
      <c r="G191" s="5" t="s">
        <v>1621</v>
      </c>
      <c r="H191" s="5"/>
      <c r="I191" s="5" t="s">
        <v>745</v>
      </c>
      <c r="J191" s="5" t="s">
        <v>1622</v>
      </c>
    </row>
    <row r="192" customFormat="false" ht="75" hidden="false" customHeight="true" outlineLevel="0" collapsed="false">
      <c r="A192" s="5" t="s">
        <v>1623</v>
      </c>
      <c r="B192" s="5" t="s">
        <v>400</v>
      </c>
      <c r="C192" s="5" t="s">
        <v>1624</v>
      </c>
      <c r="D192" s="5" t="s">
        <v>749</v>
      </c>
      <c r="E192" s="5" t="s">
        <v>782</v>
      </c>
      <c r="F192" s="5" t="s">
        <v>1625</v>
      </c>
      <c r="G192" s="5" t="s">
        <v>404</v>
      </c>
      <c r="H192" s="5" t="s">
        <v>146</v>
      </c>
      <c r="I192" s="5" t="s">
        <v>734</v>
      </c>
      <c r="J192" s="5" t="s">
        <v>1626</v>
      </c>
    </row>
    <row r="193" customFormat="false" ht="75" hidden="false" customHeight="true" outlineLevel="0" collapsed="false">
      <c r="A193" s="5" t="s">
        <v>1627</v>
      </c>
      <c r="B193" s="5" t="s">
        <v>400</v>
      </c>
      <c r="C193" s="5" t="s">
        <v>1628</v>
      </c>
      <c r="D193" s="5" t="s">
        <v>772</v>
      </c>
      <c r="E193" s="5" t="s">
        <v>789</v>
      </c>
      <c r="F193" s="5" t="s">
        <v>1629</v>
      </c>
      <c r="G193" s="5" t="s">
        <v>1630</v>
      </c>
      <c r="H193" s="5" t="s">
        <v>1631</v>
      </c>
      <c r="I193" s="5" t="s">
        <v>734</v>
      </c>
      <c r="J193" s="5" t="s">
        <v>1632</v>
      </c>
    </row>
    <row r="194" customFormat="false" ht="75" hidden="false" customHeight="true" outlineLevel="0" collapsed="false">
      <c r="A194" s="5" t="s">
        <v>1633</v>
      </c>
      <c r="B194" s="5" t="s">
        <v>400</v>
      </c>
      <c r="C194" s="5" t="s">
        <v>1634</v>
      </c>
      <c r="D194" s="5" t="s">
        <v>772</v>
      </c>
      <c r="E194" s="5" t="s">
        <v>789</v>
      </c>
      <c r="F194" s="5" t="s">
        <v>1635</v>
      </c>
      <c r="G194" s="5" t="s">
        <v>1636</v>
      </c>
      <c r="H194" s="5"/>
      <c r="I194" s="5" t="s">
        <v>753</v>
      </c>
      <c r="J194" s="5" t="s">
        <v>1637</v>
      </c>
    </row>
    <row r="195" customFormat="false" ht="75" hidden="false" customHeight="true" outlineLevel="0" collapsed="false">
      <c r="A195" s="5" t="s">
        <v>1638</v>
      </c>
      <c r="B195" s="5" t="s">
        <v>400</v>
      </c>
      <c r="C195" s="5" t="s">
        <v>1639</v>
      </c>
      <c r="D195" s="5" t="s">
        <v>729</v>
      </c>
      <c r="E195" s="5" t="s">
        <v>750</v>
      </c>
      <c r="F195" s="5" t="s">
        <v>1640</v>
      </c>
      <c r="G195" s="5" t="s">
        <v>1641</v>
      </c>
      <c r="H195" s="5"/>
      <c r="I195" s="5" t="s">
        <v>785</v>
      </c>
      <c r="J195" s="5" t="s">
        <v>1642</v>
      </c>
    </row>
    <row r="196" customFormat="false" ht="75" hidden="false" customHeight="true" outlineLevel="0" collapsed="false">
      <c r="A196" s="5" t="s">
        <v>1643</v>
      </c>
      <c r="B196" s="5" t="s">
        <v>400</v>
      </c>
      <c r="C196" s="5" t="s">
        <v>1644</v>
      </c>
      <c r="D196" s="5" t="s">
        <v>729</v>
      </c>
      <c r="E196" s="5" t="s">
        <v>924</v>
      </c>
      <c r="F196" s="5" t="s">
        <v>1645</v>
      </c>
      <c r="G196" s="5" t="s">
        <v>1646</v>
      </c>
      <c r="H196" s="5" t="s">
        <v>138</v>
      </c>
      <c r="I196" s="5" t="s">
        <v>753</v>
      </c>
      <c r="J196" s="5" t="s">
        <v>1647</v>
      </c>
    </row>
    <row r="197" customFormat="false" ht="75" hidden="false" customHeight="true" outlineLevel="0" collapsed="false">
      <c r="A197" s="5" t="s">
        <v>1648</v>
      </c>
      <c r="B197" s="5" t="s">
        <v>400</v>
      </c>
      <c r="C197" s="5" t="s">
        <v>1649</v>
      </c>
      <c r="D197" s="5" t="s">
        <v>729</v>
      </c>
      <c r="E197" s="5" t="s">
        <v>730</v>
      </c>
      <c r="F197" s="5" t="s">
        <v>1650</v>
      </c>
      <c r="G197" s="5" t="s">
        <v>1651</v>
      </c>
      <c r="H197" s="5"/>
      <c r="I197" s="5" t="s">
        <v>745</v>
      </c>
      <c r="J197" s="5" t="s">
        <v>1652</v>
      </c>
    </row>
    <row r="198" customFormat="false" ht="75" hidden="false" customHeight="true" outlineLevel="0" collapsed="false">
      <c r="A198" s="5" t="s">
        <v>1653</v>
      </c>
      <c r="B198" s="5" t="s">
        <v>400</v>
      </c>
      <c r="C198" s="5" t="s">
        <v>1654</v>
      </c>
      <c r="D198" s="5" t="s">
        <v>749</v>
      </c>
      <c r="E198" s="5" t="s">
        <v>730</v>
      </c>
      <c r="F198" s="5" t="s">
        <v>1655</v>
      </c>
      <c r="G198" s="5" t="s">
        <v>1651</v>
      </c>
      <c r="H198" s="5"/>
      <c r="I198" s="5" t="s">
        <v>734</v>
      </c>
      <c r="J198" s="5" t="s">
        <v>1656</v>
      </c>
    </row>
    <row r="199" customFormat="false" ht="75" hidden="false" customHeight="true" outlineLevel="0" collapsed="false">
      <c r="A199" s="5" t="s">
        <v>1657</v>
      </c>
      <c r="B199" s="5" t="s">
        <v>400</v>
      </c>
      <c r="C199" s="5" t="s">
        <v>1658</v>
      </c>
      <c r="D199" s="5" t="s">
        <v>772</v>
      </c>
      <c r="E199" s="5" t="s">
        <v>782</v>
      </c>
      <c r="F199" s="5" t="s">
        <v>1659</v>
      </c>
      <c r="G199" s="5" t="s">
        <v>1651</v>
      </c>
      <c r="H199" s="5" t="s">
        <v>23</v>
      </c>
      <c r="I199" s="5" t="s">
        <v>734</v>
      </c>
      <c r="J199" s="5" t="s">
        <v>1660</v>
      </c>
    </row>
    <row r="200" customFormat="false" ht="75" hidden="false" customHeight="true" outlineLevel="0" collapsed="false">
      <c r="A200" s="5" t="s">
        <v>1661</v>
      </c>
      <c r="B200" s="5" t="s">
        <v>400</v>
      </c>
      <c r="C200" s="5" t="s">
        <v>1662</v>
      </c>
      <c r="D200" s="5" t="s">
        <v>772</v>
      </c>
      <c r="E200" s="5" t="s">
        <v>782</v>
      </c>
      <c r="F200" s="5" t="s">
        <v>1663</v>
      </c>
      <c r="G200" s="5" t="s">
        <v>1651</v>
      </c>
      <c r="H200" s="5" t="s">
        <v>1664</v>
      </c>
      <c r="I200" s="5" t="s">
        <v>734</v>
      </c>
      <c r="J200" s="5" t="s">
        <v>1665</v>
      </c>
    </row>
    <row r="201" customFormat="false" ht="75" hidden="false" customHeight="true" outlineLevel="0" collapsed="false">
      <c r="A201" s="5" t="s">
        <v>1666</v>
      </c>
      <c r="B201" s="5" t="s">
        <v>400</v>
      </c>
      <c r="C201" s="5" t="s">
        <v>1667</v>
      </c>
      <c r="D201" s="5" t="s">
        <v>729</v>
      </c>
      <c r="E201" s="5" t="s">
        <v>782</v>
      </c>
      <c r="F201" s="5" t="s">
        <v>1668</v>
      </c>
      <c r="G201" s="5" t="s">
        <v>1651</v>
      </c>
      <c r="H201" s="5" t="s">
        <v>49</v>
      </c>
      <c r="I201" s="5" t="s">
        <v>734</v>
      </c>
      <c r="J201" s="5" t="s">
        <v>1669</v>
      </c>
    </row>
    <row r="202" customFormat="false" ht="75" hidden="false" customHeight="true" outlineLevel="0" collapsed="false">
      <c r="A202" s="5" t="s">
        <v>1670</v>
      </c>
      <c r="B202" s="5" t="s">
        <v>400</v>
      </c>
      <c r="C202" s="5" t="s">
        <v>1671</v>
      </c>
      <c r="D202" s="5" t="s">
        <v>772</v>
      </c>
      <c r="E202" s="5" t="s">
        <v>789</v>
      </c>
      <c r="F202" s="5" t="s">
        <v>1672</v>
      </c>
      <c r="G202" s="5" t="s">
        <v>1651</v>
      </c>
      <c r="H202" s="5"/>
      <c r="I202" s="5" t="s">
        <v>734</v>
      </c>
      <c r="J202" s="5" t="s">
        <v>1673</v>
      </c>
    </row>
    <row r="203" customFormat="false" ht="75" hidden="false" customHeight="true" outlineLevel="0" collapsed="false">
      <c r="A203" s="5" t="s">
        <v>1674</v>
      </c>
      <c r="B203" s="5" t="s">
        <v>400</v>
      </c>
      <c r="C203" s="5" t="s">
        <v>1675</v>
      </c>
      <c r="D203" s="5" t="s">
        <v>772</v>
      </c>
      <c r="E203" s="5" t="s">
        <v>782</v>
      </c>
      <c r="F203" s="5" t="s">
        <v>1676</v>
      </c>
      <c r="G203" s="5" t="s">
        <v>1651</v>
      </c>
      <c r="H203" s="5" t="s">
        <v>274</v>
      </c>
      <c r="I203" s="5" t="s">
        <v>753</v>
      </c>
      <c r="J203" s="5" t="s">
        <v>1677</v>
      </c>
    </row>
    <row r="204" customFormat="false" ht="75" hidden="false" customHeight="true" outlineLevel="0" collapsed="false">
      <c r="A204" s="5" t="s">
        <v>1678</v>
      </c>
      <c r="B204" s="5" t="s">
        <v>400</v>
      </c>
      <c r="C204" s="5" t="s">
        <v>1679</v>
      </c>
      <c r="D204" s="5" t="s">
        <v>772</v>
      </c>
      <c r="E204" s="5" t="s">
        <v>782</v>
      </c>
      <c r="F204" s="5" t="s">
        <v>1680</v>
      </c>
      <c r="G204" s="5" t="s">
        <v>1651</v>
      </c>
      <c r="H204" s="5" t="s">
        <v>74</v>
      </c>
      <c r="I204" s="5" t="s">
        <v>753</v>
      </c>
      <c r="J204" s="5" t="s">
        <v>1190</v>
      </c>
    </row>
    <row r="205" customFormat="false" ht="75" hidden="false" customHeight="true" outlineLevel="0" collapsed="false">
      <c r="A205" s="5" t="s">
        <v>1681</v>
      </c>
      <c r="B205" s="5" t="s">
        <v>400</v>
      </c>
      <c r="C205" s="5" t="s">
        <v>1682</v>
      </c>
      <c r="D205" s="5" t="s">
        <v>772</v>
      </c>
      <c r="E205" s="5" t="s">
        <v>888</v>
      </c>
      <c r="F205" s="5" t="s">
        <v>1683</v>
      </c>
      <c r="G205" s="5" t="s">
        <v>1651</v>
      </c>
      <c r="H205" s="5" t="s">
        <v>114</v>
      </c>
      <c r="I205" s="5" t="s">
        <v>745</v>
      </c>
      <c r="J205" s="5" t="s">
        <v>1684</v>
      </c>
    </row>
    <row r="206" customFormat="false" ht="75" hidden="false" customHeight="true" outlineLevel="0" collapsed="false">
      <c r="A206" s="5" t="s">
        <v>1685</v>
      </c>
      <c r="B206" s="5" t="s">
        <v>400</v>
      </c>
      <c r="C206" s="5" t="s">
        <v>1686</v>
      </c>
      <c r="D206" s="5" t="s">
        <v>772</v>
      </c>
      <c r="E206" s="5" t="s">
        <v>762</v>
      </c>
      <c r="F206" s="5" t="s">
        <v>1687</v>
      </c>
      <c r="G206" s="5" t="s">
        <v>1651</v>
      </c>
      <c r="H206" s="5" t="s">
        <v>178</v>
      </c>
      <c r="I206" s="5" t="s">
        <v>745</v>
      </c>
      <c r="J206" s="5" t="s">
        <v>765</v>
      </c>
    </row>
    <row r="207" customFormat="false" ht="75" hidden="false" customHeight="true" outlineLevel="0" collapsed="false">
      <c r="A207" s="5" t="s">
        <v>1688</v>
      </c>
      <c r="B207" s="5" t="s">
        <v>400</v>
      </c>
      <c r="C207" s="5" t="s">
        <v>1689</v>
      </c>
      <c r="D207" s="5" t="s">
        <v>749</v>
      </c>
      <c r="E207" s="5" t="s">
        <v>782</v>
      </c>
      <c r="F207" s="5" t="s">
        <v>1690</v>
      </c>
      <c r="G207" s="5" t="s">
        <v>1651</v>
      </c>
      <c r="H207" s="5" t="s">
        <v>250</v>
      </c>
      <c r="I207" s="5" t="s">
        <v>734</v>
      </c>
      <c r="J207" s="5" t="s">
        <v>1691</v>
      </c>
    </row>
    <row r="208" customFormat="false" ht="75" hidden="false" customHeight="true" outlineLevel="0" collapsed="false">
      <c r="A208" s="5" t="s">
        <v>1692</v>
      </c>
      <c r="B208" s="5" t="s">
        <v>400</v>
      </c>
      <c r="C208" s="5" t="s">
        <v>1693</v>
      </c>
      <c r="D208" s="5" t="s">
        <v>772</v>
      </c>
      <c r="E208" s="5" t="s">
        <v>782</v>
      </c>
      <c r="F208" s="5" t="s">
        <v>1694</v>
      </c>
      <c r="G208" s="5" t="s">
        <v>1651</v>
      </c>
      <c r="H208" s="5"/>
      <c r="I208" s="5" t="s">
        <v>785</v>
      </c>
      <c r="J208" s="5" t="s">
        <v>1695</v>
      </c>
    </row>
    <row r="209" customFormat="false" ht="75" hidden="false" customHeight="true" outlineLevel="0" collapsed="false">
      <c r="A209" s="5" t="s">
        <v>1696</v>
      </c>
      <c r="B209" s="5" t="s">
        <v>400</v>
      </c>
      <c r="C209" s="5" t="s">
        <v>1697</v>
      </c>
      <c r="D209" s="5" t="s">
        <v>772</v>
      </c>
      <c r="E209" s="5" t="s">
        <v>762</v>
      </c>
      <c r="F209" s="5" t="s">
        <v>1698</v>
      </c>
      <c r="G209" s="5" t="s">
        <v>1651</v>
      </c>
      <c r="H209" s="5" t="s">
        <v>202</v>
      </c>
      <c r="I209" s="5" t="s">
        <v>745</v>
      </c>
      <c r="J209" s="5" t="s">
        <v>765</v>
      </c>
    </row>
    <row r="210" customFormat="false" ht="75" hidden="false" customHeight="true" outlineLevel="0" collapsed="false">
      <c r="A210" s="5" t="s">
        <v>1699</v>
      </c>
      <c r="B210" s="5" t="s">
        <v>400</v>
      </c>
      <c r="C210" s="5" t="s">
        <v>1700</v>
      </c>
      <c r="D210" s="5" t="s">
        <v>749</v>
      </c>
      <c r="E210" s="5" t="s">
        <v>762</v>
      </c>
      <c r="F210" s="5" t="s">
        <v>1701</v>
      </c>
      <c r="G210" s="5" t="s">
        <v>1651</v>
      </c>
      <c r="H210" s="5"/>
      <c r="I210" s="5" t="s">
        <v>745</v>
      </c>
      <c r="J210" s="5" t="s">
        <v>765</v>
      </c>
    </row>
    <row r="211" customFormat="false" ht="75" hidden="false" customHeight="true" outlineLevel="0" collapsed="false">
      <c r="A211" s="5" t="s">
        <v>1702</v>
      </c>
      <c r="B211" s="5" t="s">
        <v>400</v>
      </c>
      <c r="C211" s="5" t="s">
        <v>1703</v>
      </c>
      <c r="D211" s="5" t="s">
        <v>772</v>
      </c>
      <c r="E211" s="5" t="s">
        <v>782</v>
      </c>
      <c r="F211" s="5" t="s">
        <v>1704</v>
      </c>
      <c r="G211" s="5" t="s">
        <v>1651</v>
      </c>
      <c r="H211" s="5"/>
      <c r="I211" s="5" t="s">
        <v>785</v>
      </c>
      <c r="J211" s="5" t="s">
        <v>786</v>
      </c>
    </row>
    <row r="212" customFormat="false" ht="75" hidden="false" customHeight="true" outlineLevel="0" collapsed="false">
      <c r="A212" s="5" t="s">
        <v>1705</v>
      </c>
      <c r="B212" s="5" t="s">
        <v>409</v>
      </c>
      <c r="C212" s="5" t="s">
        <v>1706</v>
      </c>
      <c r="D212" s="5" t="s">
        <v>749</v>
      </c>
      <c r="E212" s="5" t="s">
        <v>730</v>
      </c>
      <c r="F212" s="5" t="s">
        <v>1707</v>
      </c>
      <c r="G212" s="5" t="s">
        <v>1708</v>
      </c>
      <c r="H212" s="5"/>
      <c r="I212" s="5" t="s">
        <v>734</v>
      </c>
      <c r="J212" s="5" t="s">
        <v>1709</v>
      </c>
    </row>
    <row r="213" customFormat="false" ht="75" hidden="false" customHeight="true" outlineLevel="0" collapsed="false">
      <c r="A213" s="5" t="s">
        <v>1710</v>
      </c>
      <c r="B213" s="5" t="s">
        <v>409</v>
      </c>
      <c r="C213" s="5" t="s">
        <v>1711</v>
      </c>
      <c r="D213" s="5" t="s">
        <v>729</v>
      </c>
      <c r="E213" s="5" t="s">
        <v>730</v>
      </c>
      <c r="F213" s="5" t="s">
        <v>1712</v>
      </c>
      <c r="G213" s="5" t="s">
        <v>1713</v>
      </c>
      <c r="H213" s="5"/>
      <c r="I213" s="5" t="s">
        <v>745</v>
      </c>
      <c r="J213" s="5" t="s">
        <v>942</v>
      </c>
    </row>
    <row r="214" customFormat="false" ht="75" hidden="false" customHeight="true" outlineLevel="0" collapsed="false">
      <c r="A214" s="5" t="s">
        <v>1714</v>
      </c>
      <c r="B214" s="5" t="s">
        <v>409</v>
      </c>
      <c r="C214" s="5" t="s">
        <v>1715</v>
      </c>
      <c r="D214" s="5" t="s">
        <v>749</v>
      </c>
      <c r="E214" s="5" t="s">
        <v>730</v>
      </c>
      <c r="F214" s="5" t="s">
        <v>1716</v>
      </c>
      <c r="G214" s="5" t="s">
        <v>1717</v>
      </c>
      <c r="H214" s="5" t="s">
        <v>90</v>
      </c>
      <c r="I214" s="5" t="s">
        <v>734</v>
      </c>
      <c r="J214" s="5" t="s">
        <v>1718</v>
      </c>
    </row>
    <row r="215" customFormat="false" ht="75" hidden="false" customHeight="true" outlineLevel="0" collapsed="false">
      <c r="A215" s="5" t="s">
        <v>1719</v>
      </c>
      <c r="B215" s="5" t="s">
        <v>409</v>
      </c>
      <c r="C215" s="5" t="s">
        <v>1720</v>
      </c>
      <c r="D215" s="5" t="s">
        <v>749</v>
      </c>
      <c r="E215" s="5" t="s">
        <v>782</v>
      </c>
      <c r="F215" s="5" t="s">
        <v>1721</v>
      </c>
      <c r="G215" s="5" t="s">
        <v>1722</v>
      </c>
      <c r="H215" s="5" t="s">
        <v>178</v>
      </c>
      <c r="I215" s="5" t="s">
        <v>734</v>
      </c>
      <c r="J215" s="5" t="s">
        <v>1723</v>
      </c>
    </row>
    <row r="216" customFormat="false" ht="75" hidden="false" customHeight="true" outlineLevel="0" collapsed="false">
      <c r="A216" s="5" t="s">
        <v>1724</v>
      </c>
      <c r="B216" s="5" t="s">
        <v>409</v>
      </c>
      <c r="C216" s="5" t="s">
        <v>1725</v>
      </c>
      <c r="D216" s="5" t="s">
        <v>749</v>
      </c>
      <c r="E216" s="5" t="s">
        <v>782</v>
      </c>
      <c r="F216" s="5" t="s">
        <v>1726</v>
      </c>
      <c r="G216" s="5" t="s">
        <v>1727</v>
      </c>
      <c r="H216" s="5"/>
      <c r="I216" s="5" t="s">
        <v>745</v>
      </c>
      <c r="J216" s="5" t="s">
        <v>765</v>
      </c>
    </row>
    <row r="217" customFormat="false" ht="75" hidden="false" customHeight="true" outlineLevel="0" collapsed="false">
      <c r="A217" s="5" t="s">
        <v>1728</v>
      </c>
      <c r="B217" s="5" t="s">
        <v>409</v>
      </c>
      <c r="C217" s="5" t="s">
        <v>1729</v>
      </c>
      <c r="D217" s="5" t="s">
        <v>749</v>
      </c>
      <c r="E217" s="5" t="s">
        <v>782</v>
      </c>
      <c r="F217" s="5" t="s">
        <v>1730</v>
      </c>
      <c r="G217" s="5" t="s">
        <v>1731</v>
      </c>
      <c r="H217" s="5" t="s">
        <v>32</v>
      </c>
      <c r="I217" s="5" t="s">
        <v>734</v>
      </c>
      <c r="J217" s="5" t="s">
        <v>1732</v>
      </c>
    </row>
    <row r="218" customFormat="false" ht="75" hidden="false" customHeight="true" outlineLevel="0" collapsed="false">
      <c r="A218" s="5" t="s">
        <v>1733</v>
      </c>
      <c r="B218" s="5" t="s">
        <v>409</v>
      </c>
      <c r="C218" s="5" t="s">
        <v>1734</v>
      </c>
      <c r="D218" s="5" t="s">
        <v>749</v>
      </c>
      <c r="E218" s="5" t="s">
        <v>782</v>
      </c>
      <c r="F218" s="5" t="s">
        <v>1735</v>
      </c>
      <c r="G218" s="5" t="s">
        <v>1736</v>
      </c>
      <c r="H218" s="5" t="s">
        <v>32</v>
      </c>
      <c r="I218" s="5" t="s">
        <v>734</v>
      </c>
      <c r="J218" s="5" t="s">
        <v>1732</v>
      </c>
    </row>
    <row r="219" customFormat="false" ht="75" hidden="false" customHeight="true" outlineLevel="0" collapsed="false">
      <c r="A219" s="5" t="s">
        <v>1737</v>
      </c>
      <c r="B219" s="5" t="s">
        <v>409</v>
      </c>
      <c r="C219" s="5" t="s">
        <v>1738</v>
      </c>
      <c r="D219" s="5" t="s">
        <v>749</v>
      </c>
      <c r="E219" s="5" t="s">
        <v>782</v>
      </c>
      <c r="F219" s="5" t="s">
        <v>1739</v>
      </c>
      <c r="G219" s="5" t="s">
        <v>1740</v>
      </c>
      <c r="H219" s="5"/>
      <c r="I219" s="5" t="s">
        <v>734</v>
      </c>
      <c r="J219" s="5" t="s">
        <v>1741</v>
      </c>
    </row>
    <row r="220" customFormat="false" ht="75" hidden="false" customHeight="true" outlineLevel="0" collapsed="false">
      <c r="A220" s="5" t="s">
        <v>1742</v>
      </c>
      <c r="B220" s="5" t="s">
        <v>409</v>
      </c>
      <c r="C220" s="5" t="s">
        <v>1743</v>
      </c>
      <c r="D220" s="5" t="s">
        <v>749</v>
      </c>
      <c r="E220" s="5" t="s">
        <v>888</v>
      </c>
      <c r="F220" s="5" t="s">
        <v>1744</v>
      </c>
      <c r="G220" s="5" t="s">
        <v>1745</v>
      </c>
      <c r="H220" s="5" t="s">
        <v>1329</v>
      </c>
      <c r="I220" s="5" t="s">
        <v>734</v>
      </c>
      <c r="J220" s="5" t="s">
        <v>1746</v>
      </c>
    </row>
    <row r="221" customFormat="false" ht="75" hidden="false" customHeight="true" outlineLevel="0" collapsed="false">
      <c r="A221" s="5" t="s">
        <v>1747</v>
      </c>
      <c r="B221" s="5" t="s">
        <v>409</v>
      </c>
      <c r="C221" s="5" t="s">
        <v>1748</v>
      </c>
      <c r="D221" s="5" t="s">
        <v>772</v>
      </c>
      <c r="E221" s="5" t="s">
        <v>782</v>
      </c>
      <c r="F221" s="5" t="s">
        <v>1749</v>
      </c>
      <c r="G221" s="5" t="s">
        <v>1750</v>
      </c>
      <c r="H221" s="5" t="s">
        <v>1751</v>
      </c>
      <c r="I221" s="5" t="s">
        <v>745</v>
      </c>
      <c r="J221" s="5" t="s">
        <v>1752</v>
      </c>
    </row>
    <row r="222" customFormat="false" ht="75" hidden="false" customHeight="true" outlineLevel="0" collapsed="false">
      <c r="A222" s="5" t="s">
        <v>1753</v>
      </c>
      <c r="B222" s="5" t="s">
        <v>409</v>
      </c>
      <c r="C222" s="5" t="s">
        <v>1754</v>
      </c>
      <c r="D222" s="5" t="s">
        <v>749</v>
      </c>
      <c r="E222" s="5" t="s">
        <v>762</v>
      </c>
      <c r="F222" s="5" t="s">
        <v>1755</v>
      </c>
      <c r="G222" s="5" t="s">
        <v>1756</v>
      </c>
      <c r="H222" s="5"/>
      <c r="I222" s="5" t="s">
        <v>745</v>
      </c>
      <c r="J222" s="5" t="s">
        <v>1752</v>
      </c>
    </row>
    <row r="223" customFormat="false" ht="75" hidden="false" customHeight="true" outlineLevel="0" collapsed="false">
      <c r="A223" s="5" t="s">
        <v>1757</v>
      </c>
      <c r="B223" s="5" t="s">
        <v>409</v>
      </c>
      <c r="C223" s="5" t="s">
        <v>1758</v>
      </c>
      <c r="D223" s="5" t="s">
        <v>749</v>
      </c>
      <c r="E223" s="5" t="s">
        <v>789</v>
      </c>
      <c r="F223" s="5" t="s">
        <v>1759</v>
      </c>
      <c r="G223" s="5" t="s">
        <v>1717</v>
      </c>
      <c r="H223" s="5" t="s">
        <v>90</v>
      </c>
      <c r="I223" s="5" t="s">
        <v>734</v>
      </c>
      <c r="J223" s="5" t="s">
        <v>1760</v>
      </c>
    </row>
    <row r="224" customFormat="false" ht="75" hidden="false" customHeight="true" outlineLevel="0" collapsed="false">
      <c r="A224" s="5" t="s">
        <v>1761</v>
      </c>
      <c r="B224" s="5" t="s">
        <v>409</v>
      </c>
      <c r="C224" s="5" t="s">
        <v>1762</v>
      </c>
      <c r="D224" s="5" t="s">
        <v>729</v>
      </c>
      <c r="E224" s="5" t="s">
        <v>789</v>
      </c>
      <c r="F224" s="5" t="s">
        <v>1763</v>
      </c>
      <c r="G224" s="5" t="s">
        <v>1764</v>
      </c>
      <c r="H224" s="5" t="s">
        <v>194</v>
      </c>
      <c r="I224" s="5" t="s">
        <v>753</v>
      </c>
      <c r="J224" s="5" t="s">
        <v>1765</v>
      </c>
    </row>
    <row r="225" customFormat="false" ht="75" hidden="false" customHeight="true" outlineLevel="0" collapsed="false">
      <c r="A225" s="5" t="s">
        <v>1766</v>
      </c>
      <c r="B225" s="5" t="s">
        <v>409</v>
      </c>
      <c r="C225" s="5" t="s">
        <v>1767</v>
      </c>
      <c r="D225" s="5" t="s">
        <v>729</v>
      </c>
      <c r="E225" s="5" t="s">
        <v>750</v>
      </c>
      <c r="F225" s="5" t="s">
        <v>1768</v>
      </c>
      <c r="G225" s="5" t="s">
        <v>413</v>
      </c>
      <c r="H225" s="5"/>
      <c r="I225" s="5" t="s">
        <v>745</v>
      </c>
      <c r="J225" s="5" t="s">
        <v>1769</v>
      </c>
    </row>
    <row r="226" customFormat="false" ht="75" hidden="false" customHeight="true" outlineLevel="0" collapsed="false">
      <c r="A226" s="5" t="s">
        <v>1770</v>
      </c>
      <c r="B226" s="5" t="s">
        <v>409</v>
      </c>
      <c r="C226" s="5" t="s">
        <v>1771</v>
      </c>
      <c r="D226" s="5" t="s">
        <v>749</v>
      </c>
      <c r="E226" s="5" t="s">
        <v>750</v>
      </c>
      <c r="F226" s="5" t="s">
        <v>1772</v>
      </c>
      <c r="G226" s="5" t="s">
        <v>413</v>
      </c>
      <c r="H226" s="5"/>
      <c r="I226" s="5" t="s">
        <v>745</v>
      </c>
      <c r="J226" s="5" t="s">
        <v>1773</v>
      </c>
    </row>
    <row r="227" customFormat="false" ht="75" hidden="false" customHeight="true" outlineLevel="0" collapsed="false">
      <c r="A227" s="5" t="s">
        <v>1774</v>
      </c>
      <c r="B227" s="5" t="s">
        <v>409</v>
      </c>
      <c r="C227" s="5" t="s">
        <v>1775</v>
      </c>
      <c r="D227" s="5" t="s">
        <v>772</v>
      </c>
      <c r="E227" s="5" t="s">
        <v>762</v>
      </c>
      <c r="F227" s="5" t="s">
        <v>1776</v>
      </c>
      <c r="G227" s="5" t="s">
        <v>413</v>
      </c>
      <c r="H227" s="5"/>
      <c r="I227" s="5" t="s">
        <v>734</v>
      </c>
      <c r="J227" s="5" t="s">
        <v>1777</v>
      </c>
    </row>
    <row r="228" customFormat="false" ht="75" hidden="false" customHeight="true" outlineLevel="0" collapsed="false">
      <c r="A228" s="5" t="s">
        <v>1778</v>
      </c>
      <c r="B228" s="5" t="s">
        <v>409</v>
      </c>
      <c r="C228" s="5" t="s">
        <v>1779</v>
      </c>
      <c r="D228" s="5" t="s">
        <v>729</v>
      </c>
      <c r="E228" s="5" t="s">
        <v>730</v>
      </c>
      <c r="F228" s="5" t="s">
        <v>1780</v>
      </c>
      <c r="G228" s="5" t="s">
        <v>1781</v>
      </c>
      <c r="H228" s="5"/>
      <c r="I228" s="5" t="s">
        <v>745</v>
      </c>
      <c r="J228" s="5" t="s">
        <v>942</v>
      </c>
    </row>
    <row r="229" customFormat="false" ht="75" hidden="false" customHeight="true" outlineLevel="0" collapsed="false">
      <c r="A229" s="5" t="s">
        <v>1782</v>
      </c>
      <c r="B229" s="5" t="s">
        <v>409</v>
      </c>
      <c r="C229" s="5" t="s">
        <v>1783</v>
      </c>
      <c r="D229" s="5" t="s">
        <v>749</v>
      </c>
      <c r="E229" s="5" t="s">
        <v>762</v>
      </c>
      <c r="F229" s="5" t="s">
        <v>1784</v>
      </c>
      <c r="G229" s="5" t="s">
        <v>1727</v>
      </c>
      <c r="H229" s="5"/>
      <c r="I229" s="5" t="s">
        <v>745</v>
      </c>
      <c r="J229" s="5" t="s">
        <v>765</v>
      </c>
    </row>
    <row r="230" customFormat="false" ht="75" hidden="false" customHeight="true" outlineLevel="0" collapsed="false">
      <c r="A230" s="5" t="s">
        <v>1785</v>
      </c>
      <c r="B230" s="5" t="s">
        <v>409</v>
      </c>
      <c r="C230" s="5" t="s">
        <v>1786</v>
      </c>
      <c r="D230" s="5" t="s">
        <v>749</v>
      </c>
      <c r="E230" s="5" t="s">
        <v>782</v>
      </c>
      <c r="F230" s="5" t="s">
        <v>1787</v>
      </c>
      <c r="G230" s="5" t="s">
        <v>1788</v>
      </c>
      <c r="H230" s="5"/>
      <c r="I230" s="5" t="s">
        <v>734</v>
      </c>
      <c r="J230" s="5" t="s">
        <v>1741</v>
      </c>
    </row>
    <row r="231" customFormat="false" ht="75" hidden="false" customHeight="true" outlineLevel="0" collapsed="false">
      <c r="A231" s="5" t="s">
        <v>1789</v>
      </c>
      <c r="B231" s="5" t="s">
        <v>409</v>
      </c>
      <c r="C231" s="5" t="s">
        <v>1790</v>
      </c>
      <c r="D231" s="5" t="s">
        <v>749</v>
      </c>
      <c r="E231" s="5" t="s">
        <v>782</v>
      </c>
      <c r="F231" s="5" t="s">
        <v>1791</v>
      </c>
      <c r="G231" s="5" t="s">
        <v>1788</v>
      </c>
      <c r="H231" s="5"/>
      <c r="I231" s="5" t="s">
        <v>734</v>
      </c>
      <c r="J231" s="5" t="s">
        <v>1741</v>
      </c>
    </row>
    <row r="232" customFormat="false" ht="75" hidden="false" customHeight="true" outlineLevel="0" collapsed="false">
      <c r="A232" s="5" t="s">
        <v>1792</v>
      </c>
      <c r="B232" s="5" t="s">
        <v>409</v>
      </c>
      <c r="C232" s="5" t="s">
        <v>1793</v>
      </c>
      <c r="D232" s="5" t="s">
        <v>749</v>
      </c>
      <c r="E232" s="5" t="s">
        <v>789</v>
      </c>
      <c r="F232" s="5" t="s">
        <v>1794</v>
      </c>
      <c r="G232" s="5" t="s">
        <v>1717</v>
      </c>
      <c r="H232" s="5"/>
      <c r="I232" s="5" t="s">
        <v>734</v>
      </c>
      <c r="J232" s="5" t="s">
        <v>1760</v>
      </c>
    </row>
    <row r="233" customFormat="false" ht="75" hidden="false" customHeight="true" outlineLevel="0" collapsed="false">
      <c r="A233" s="5" t="s">
        <v>1795</v>
      </c>
      <c r="B233" s="5" t="s">
        <v>409</v>
      </c>
      <c r="C233" s="5" t="s">
        <v>1796</v>
      </c>
      <c r="D233" s="5" t="s">
        <v>729</v>
      </c>
      <c r="E233" s="5" t="s">
        <v>789</v>
      </c>
      <c r="F233" s="5" t="s">
        <v>1797</v>
      </c>
      <c r="G233" s="5" t="s">
        <v>413</v>
      </c>
      <c r="H233" s="5"/>
      <c r="I233" s="5" t="s">
        <v>753</v>
      </c>
      <c r="J233" s="5" t="s">
        <v>1765</v>
      </c>
    </row>
    <row r="234" customFormat="false" ht="75" hidden="false" customHeight="true" outlineLevel="0" collapsed="false">
      <c r="A234" s="5" t="s">
        <v>1798</v>
      </c>
      <c r="B234" s="5" t="s">
        <v>409</v>
      </c>
      <c r="C234" s="5" t="s">
        <v>1799</v>
      </c>
      <c r="D234" s="5" t="s">
        <v>749</v>
      </c>
      <c r="E234" s="5" t="s">
        <v>782</v>
      </c>
      <c r="F234" s="5" t="s">
        <v>1800</v>
      </c>
      <c r="G234" s="5" t="s">
        <v>1750</v>
      </c>
      <c r="H234" s="5"/>
      <c r="I234" s="5" t="s">
        <v>745</v>
      </c>
      <c r="J234" s="5" t="s">
        <v>1752</v>
      </c>
    </row>
    <row r="235" customFormat="false" ht="75" hidden="false" customHeight="true" outlineLevel="0" collapsed="false">
      <c r="A235" s="5" t="s">
        <v>1801</v>
      </c>
      <c r="B235" s="5" t="s">
        <v>409</v>
      </c>
      <c r="C235" s="5" t="s">
        <v>1802</v>
      </c>
      <c r="D235" s="5" t="s">
        <v>772</v>
      </c>
      <c r="E235" s="5" t="s">
        <v>762</v>
      </c>
      <c r="F235" s="5" t="s">
        <v>1803</v>
      </c>
      <c r="G235" s="5" t="s">
        <v>1756</v>
      </c>
      <c r="H235" s="5"/>
      <c r="I235" s="5" t="s">
        <v>745</v>
      </c>
      <c r="J235" s="5" t="s">
        <v>1752</v>
      </c>
    </row>
    <row r="236" customFormat="false" ht="75" hidden="false" customHeight="true" outlineLevel="0" collapsed="false">
      <c r="A236" s="5" t="s">
        <v>1804</v>
      </c>
      <c r="B236" s="5" t="s">
        <v>409</v>
      </c>
      <c r="C236" s="5" t="s">
        <v>1805</v>
      </c>
      <c r="D236" s="5" t="s">
        <v>749</v>
      </c>
      <c r="E236" s="5" t="s">
        <v>782</v>
      </c>
      <c r="F236" s="5" t="s">
        <v>1806</v>
      </c>
      <c r="G236" s="5" t="s">
        <v>1807</v>
      </c>
      <c r="H236" s="5"/>
      <c r="I236" s="5" t="s">
        <v>734</v>
      </c>
      <c r="J236" s="5" t="s">
        <v>1808</v>
      </c>
    </row>
    <row r="237" customFormat="false" ht="75" hidden="false" customHeight="true" outlineLevel="0" collapsed="false">
      <c r="A237" s="5" t="s">
        <v>1809</v>
      </c>
      <c r="B237" s="5" t="s">
        <v>418</v>
      </c>
      <c r="C237" s="5" t="s">
        <v>1810</v>
      </c>
      <c r="D237" s="5" t="s">
        <v>749</v>
      </c>
      <c r="E237" s="5" t="s">
        <v>730</v>
      </c>
      <c r="F237" s="5" t="s">
        <v>1811</v>
      </c>
      <c r="G237" s="5" t="s">
        <v>1812</v>
      </c>
      <c r="H237" s="5" t="s">
        <v>82</v>
      </c>
      <c r="I237" s="5" t="s">
        <v>734</v>
      </c>
      <c r="J237" s="5" t="s">
        <v>1813</v>
      </c>
    </row>
    <row r="238" customFormat="false" ht="75" hidden="false" customHeight="true" outlineLevel="0" collapsed="false">
      <c r="A238" s="5" t="s">
        <v>1814</v>
      </c>
      <c r="B238" s="5" t="s">
        <v>418</v>
      </c>
      <c r="C238" s="5" t="s">
        <v>1815</v>
      </c>
      <c r="D238" s="5" t="s">
        <v>749</v>
      </c>
      <c r="E238" s="5" t="s">
        <v>730</v>
      </c>
      <c r="F238" s="5" t="s">
        <v>1816</v>
      </c>
      <c r="G238" s="5" t="s">
        <v>1817</v>
      </c>
      <c r="H238" s="5" t="s">
        <v>290</v>
      </c>
      <c r="I238" s="5" t="s">
        <v>734</v>
      </c>
      <c r="J238" s="5" t="s">
        <v>1818</v>
      </c>
    </row>
    <row r="239" customFormat="false" ht="75" hidden="false" customHeight="true" outlineLevel="0" collapsed="false">
      <c r="A239" s="5" t="s">
        <v>1819</v>
      </c>
      <c r="B239" s="5" t="s">
        <v>418</v>
      </c>
      <c r="C239" s="5" t="s">
        <v>1820</v>
      </c>
      <c r="D239" s="5" t="s">
        <v>729</v>
      </c>
      <c r="E239" s="5" t="s">
        <v>802</v>
      </c>
      <c r="F239" s="5" t="s">
        <v>1821</v>
      </c>
      <c r="G239" s="5" t="s">
        <v>421</v>
      </c>
      <c r="H239" s="5" t="s">
        <v>1822</v>
      </c>
      <c r="I239" s="5" t="s">
        <v>753</v>
      </c>
      <c r="J239" s="5" t="s">
        <v>1823</v>
      </c>
    </row>
    <row r="240" customFormat="false" ht="75" hidden="false" customHeight="true" outlineLevel="0" collapsed="false">
      <c r="A240" s="5" t="s">
        <v>1824</v>
      </c>
      <c r="B240" s="5" t="s">
        <v>418</v>
      </c>
      <c r="C240" s="5" t="s">
        <v>1825</v>
      </c>
      <c r="D240" s="5" t="s">
        <v>749</v>
      </c>
      <c r="E240" s="5" t="s">
        <v>782</v>
      </c>
      <c r="F240" s="5" t="s">
        <v>1826</v>
      </c>
      <c r="G240" s="5" t="s">
        <v>1827</v>
      </c>
      <c r="H240" s="5" t="s">
        <v>23</v>
      </c>
      <c r="I240" s="5" t="s">
        <v>734</v>
      </c>
      <c r="J240" s="5" t="s">
        <v>1828</v>
      </c>
    </row>
    <row r="241" customFormat="false" ht="75" hidden="false" customHeight="true" outlineLevel="0" collapsed="false">
      <c r="A241" s="5" t="s">
        <v>1829</v>
      </c>
      <c r="B241" s="5" t="s">
        <v>418</v>
      </c>
      <c r="C241" s="5" t="s">
        <v>1830</v>
      </c>
      <c r="D241" s="5" t="s">
        <v>749</v>
      </c>
      <c r="E241" s="5" t="s">
        <v>782</v>
      </c>
      <c r="F241" s="5" t="s">
        <v>1831</v>
      </c>
      <c r="G241" s="5" t="s">
        <v>1832</v>
      </c>
      <c r="H241" s="5" t="s">
        <v>1833</v>
      </c>
      <c r="I241" s="5" t="s">
        <v>734</v>
      </c>
      <c r="J241" s="5" t="s">
        <v>1834</v>
      </c>
    </row>
    <row r="242" customFormat="false" ht="75" hidden="false" customHeight="true" outlineLevel="0" collapsed="false">
      <c r="A242" s="5" t="s">
        <v>1835</v>
      </c>
      <c r="B242" s="5" t="s">
        <v>418</v>
      </c>
      <c r="C242" s="5" t="s">
        <v>1836</v>
      </c>
      <c r="D242" s="5" t="s">
        <v>749</v>
      </c>
      <c r="E242" s="5" t="s">
        <v>782</v>
      </c>
      <c r="F242" s="5" t="s">
        <v>1837</v>
      </c>
      <c r="G242" s="5" t="s">
        <v>1832</v>
      </c>
      <c r="H242" s="5" t="s">
        <v>74</v>
      </c>
      <c r="I242" s="5" t="s">
        <v>753</v>
      </c>
      <c r="J242" s="5" t="s">
        <v>1838</v>
      </c>
    </row>
    <row r="243" customFormat="false" ht="75" hidden="false" customHeight="true" outlineLevel="0" collapsed="false">
      <c r="A243" s="5" t="s">
        <v>1839</v>
      </c>
      <c r="B243" s="5" t="s">
        <v>418</v>
      </c>
      <c r="C243" s="5" t="s">
        <v>1840</v>
      </c>
      <c r="D243" s="5" t="s">
        <v>772</v>
      </c>
      <c r="E243" s="5" t="s">
        <v>782</v>
      </c>
      <c r="F243" s="5" t="s">
        <v>1841</v>
      </c>
      <c r="G243" s="5" t="s">
        <v>1832</v>
      </c>
      <c r="H243" s="5" t="s">
        <v>66</v>
      </c>
      <c r="I243" s="5" t="s">
        <v>753</v>
      </c>
      <c r="J243" s="5" t="s">
        <v>1842</v>
      </c>
    </row>
    <row r="244" customFormat="false" ht="75" hidden="false" customHeight="true" outlineLevel="0" collapsed="false">
      <c r="A244" s="5" t="s">
        <v>1843</v>
      </c>
      <c r="B244" s="5" t="s">
        <v>418</v>
      </c>
      <c r="C244" s="5" t="s">
        <v>1844</v>
      </c>
      <c r="D244" s="5" t="s">
        <v>772</v>
      </c>
      <c r="E244" s="5" t="s">
        <v>782</v>
      </c>
      <c r="F244" s="5" t="s">
        <v>1845</v>
      </c>
      <c r="G244" s="5" t="s">
        <v>1832</v>
      </c>
      <c r="H244" s="5"/>
      <c r="I244" s="5" t="s">
        <v>745</v>
      </c>
      <c r="J244" s="5" t="s">
        <v>1846</v>
      </c>
    </row>
    <row r="245" customFormat="false" ht="75" hidden="false" customHeight="true" outlineLevel="0" collapsed="false">
      <c r="A245" s="5" t="s">
        <v>1847</v>
      </c>
      <c r="B245" s="5" t="s">
        <v>418</v>
      </c>
      <c r="C245" s="5" t="s">
        <v>1848</v>
      </c>
      <c r="D245" s="5" t="s">
        <v>772</v>
      </c>
      <c r="E245" s="5" t="s">
        <v>782</v>
      </c>
      <c r="F245" s="5" t="s">
        <v>1849</v>
      </c>
      <c r="G245" s="5" t="s">
        <v>1832</v>
      </c>
      <c r="H245" s="5"/>
      <c r="I245" s="5" t="s">
        <v>734</v>
      </c>
      <c r="J245" s="5" t="s">
        <v>1850</v>
      </c>
    </row>
    <row r="246" customFormat="false" ht="75" hidden="false" customHeight="true" outlineLevel="0" collapsed="false">
      <c r="A246" s="5" t="s">
        <v>1851</v>
      </c>
      <c r="B246" s="5" t="s">
        <v>418</v>
      </c>
      <c r="C246" s="5" t="s">
        <v>1852</v>
      </c>
      <c r="D246" s="5" t="s">
        <v>772</v>
      </c>
      <c r="E246" s="5" t="s">
        <v>782</v>
      </c>
      <c r="F246" s="5" t="s">
        <v>1853</v>
      </c>
      <c r="G246" s="5" t="s">
        <v>1832</v>
      </c>
      <c r="H246" s="5" t="s">
        <v>49</v>
      </c>
      <c r="I246" s="5" t="s">
        <v>734</v>
      </c>
      <c r="J246" s="5" t="s">
        <v>1854</v>
      </c>
    </row>
    <row r="247" customFormat="false" ht="75" hidden="false" customHeight="true" outlineLevel="0" collapsed="false">
      <c r="A247" s="5" t="s">
        <v>1855</v>
      </c>
      <c r="B247" s="5" t="s">
        <v>418</v>
      </c>
      <c r="C247" s="5" t="s">
        <v>1856</v>
      </c>
      <c r="D247" s="5" t="s">
        <v>772</v>
      </c>
      <c r="E247" s="5" t="s">
        <v>888</v>
      </c>
      <c r="F247" s="5" t="s">
        <v>1857</v>
      </c>
      <c r="G247" s="5" t="s">
        <v>1832</v>
      </c>
      <c r="H247" s="5"/>
      <c r="I247" s="5" t="s">
        <v>745</v>
      </c>
      <c r="J247" s="5" t="s">
        <v>1858</v>
      </c>
    </row>
    <row r="248" customFormat="false" ht="75" hidden="false" customHeight="true" outlineLevel="0" collapsed="false">
      <c r="A248" s="5" t="s">
        <v>1859</v>
      </c>
      <c r="B248" s="5" t="s">
        <v>418</v>
      </c>
      <c r="C248" s="5" t="s">
        <v>1860</v>
      </c>
      <c r="D248" s="5" t="s">
        <v>749</v>
      </c>
      <c r="E248" s="5" t="s">
        <v>782</v>
      </c>
      <c r="F248" s="5" t="s">
        <v>1861</v>
      </c>
      <c r="G248" s="5" t="s">
        <v>1862</v>
      </c>
      <c r="H248" s="5" t="s">
        <v>178</v>
      </c>
      <c r="I248" s="5" t="s">
        <v>745</v>
      </c>
      <c r="J248" s="5" t="s">
        <v>765</v>
      </c>
    </row>
    <row r="249" customFormat="false" ht="75" hidden="false" customHeight="true" outlineLevel="0" collapsed="false">
      <c r="A249" s="5" t="s">
        <v>1863</v>
      </c>
      <c r="B249" s="5" t="s">
        <v>418</v>
      </c>
      <c r="C249" s="5" t="s">
        <v>1864</v>
      </c>
      <c r="D249" s="5" t="s">
        <v>772</v>
      </c>
      <c r="E249" s="5" t="s">
        <v>789</v>
      </c>
      <c r="F249" s="5" t="s">
        <v>1865</v>
      </c>
      <c r="G249" s="5" t="s">
        <v>1866</v>
      </c>
      <c r="H249" s="5"/>
      <c r="I249" s="5" t="s">
        <v>734</v>
      </c>
      <c r="J249" s="5" t="s">
        <v>1867</v>
      </c>
    </row>
    <row r="250" customFormat="false" ht="75" hidden="false" customHeight="true" outlineLevel="0" collapsed="false">
      <c r="A250" s="5" t="s">
        <v>1868</v>
      </c>
      <c r="B250" s="5" t="s">
        <v>418</v>
      </c>
      <c r="C250" s="5" t="s">
        <v>1869</v>
      </c>
      <c r="D250" s="5" t="s">
        <v>729</v>
      </c>
      <c r="E250" s="5" t="s">
        <v>750</v>
      </c>
      <c r="F250" s="5" t="s">
        <v>1870</v>
      </c>
      <c r="G250" s="5" t="s">
        <v>1871</v>
      </c>
      <c r="H250" s="5" t="s">
        <v>242</v>
      </c>
      <c r="I250" s="5" t="s">
        <v>734</v>
      </c>
      <c r="J250" s="5" t="s">
        <v>1872</v>
      </c>
    </row>
    <row r="251" customFormat="false" ht="75" hidden="false" customHeight="true" outlineLevel="0" collapsed="false">
      <c r="A251" s="5" t="s">
        <v>1873</v>
      </c>
      <c r="B251" s="5" t="s">
        <v>418</v>
      </c>
      <c r="C251" s="5" t="s">
        <v>1874</v>
      </c>
      <c r="D251" s="5" t="s">
        <v>729</v>
      </c>
      <c r="E251" s="5" t="s">
        <v>730</v>
      </c>
      <c r="F251" s="5" t="s">
        <v>1875</v>
      </c>
      <c r="G251" s="5" t="s">
        <v>1876</v>
      </c>
      <c r="H251" s="5"/>
      <c r="I251" s="5" t="s">
        <v>745</v>
      </c>
      <c r="J251" s="5" t="s">
        <v>1877</v>
      </c>
    </row>
    <row r="252" customFormat="false" ht="75" hidden="false" customHeight="true" outlineLevel="0" collapsed="false">
      <c r="A252" s="5" t="s">
        <v>1878</v>
      </c>
      <c r="B252" s="5" t="s">
        <v>418</v>
      </c>
      <c r="C252" s="5" t="s">
        <v>1879</v>
      </c>
      <c r="D252" s="5" t="s">
        <v>772</v>
      </c>
      <c r="E252" s="5" t="s">
        <v>924</v>
      </c>
      <c r="F252" s="5" t="s">
        <v>1880</v>
      </c>
      <c r="G252" s="5" t="s">
        <v>1881</v>
      </c>
      <c r="H252" s="5"/>
      <c r="I252" s="5" t="s">
        <v>785</v>
      </c>
      <c r="J252" s="5" t="s">
        <v>1882</v>
      </c>
    </row>
    <row r="253" customFormat="false" ht="75" hidden="false" customHeight="true" outlineLevel="0" collapsed="false">
      <c r="A253" s="5" t="s">
        <v>1883</v>
      </c>
      <c r="B253" s="5" t="s">
        <v>426</v>
      </c>
      <c r="C253" s="5" t="s">
        <v>1884</v>
      </c>
      <c r="D253" s="5" t="s">
        <v>749</v>
      </c>
      <c r="E253" s="5" t="s">
        <v>730</v>
      </c>
      <c r="F253" s="5" t="s">
        <v>1885</v>
      </c>
      <c r="G253" s="5" t="s">
        <v>429</v>
      </c>
      <c r="H253" s="5"/>
      <c r="I253" s="5" t="s">
        <v>734</v>
      </c>
      <c r="J253" s="5" t="s">
        <v>973</v>
      </c>
    </row>
    <row r="254" customFormat="false" ht="75" hidden="false" customHeight="true" outlineLevel="0" collapsed="false">
      <c r="A254" s="5" t="s">
        <v>1886</v>
      </c>
      <c r="B254" s="5" t="s">
        <v>426</v>
      </c>
      <c r="C254" s="5" t="s">
        <v>1887</v>
      </c>
      <c r="D254" s="5" t="s">
        <v>729</v>
      </c>
      <c r="E254" s="5" t="s">
        <v>782</v>
      </c>
      <c r="F254" s="5" t="s">
        <v>1888</v>
      </c>
      <c r="G254" s="5" t="s">
        <v>1889</v>
      </c>
      <c r="H254" s="5" t="s">
        <v>1890</v>
      </c>
      <c r="I254" s="5" t="s">
        <v>753</v>
      </c>
      <c r="J254" s="5" t="s">
        <v>1891</v>
      </c>
    </row>
    <row r="255" customFormat="false" ht="75" hidden="false" customHeight="true" outlineLevel="0" collapsed="false">
      <c r="A255" s="5" t="s">
        <v>1892</v>
      </c>
      <c r="B255" s="5" t="s">
        <v>426</v>
      </c>
      <c r="C255" s="5" t="s">
        <v>1893</v>
      </c>
      <c r="D255" s="5" t="s">
        <v>749</v>
      </c>
      <c r="E255" s="5" t="s">
        <v>782</v>
      </c>
      <c r="F255" s="5" t="s">
        <v>1894</v>
      </c>
      <c r="G255" s="5" t="s">
        <v>1895</v>
      </c>
      <c r="H255" s="5" t="s">
        <v>66</v>
      </c>
      <c r="I255" s="5" t="s">
        <v>753</v>
      </c>
      <c r="J255" s="5" t="s">
        <v>1896</v>
      </c>
    </row>
    <row r="256" customFormat="false" ht="75" hidden="false" customHeight="true" outlineLevel="0" collapsed="false">
      <c r="A256" s="5" t="s">
        <v>1897</v>
      </c>
      <c r="B256" s="5" t="s">
        <v>426</v>
      </c>
      <c r="C256" s="5" t="s">
        <v>1898</v>
      </c>
      <c r="D256" s="5" t="s">
        <v>772</v>
      </c>
      <c r="E256" s="5" t="s">
        <v>888</v>
      </c>
      <c r="F256" s="5" t="s">
        <v>1899</v>
      </c>
      <c r="G256" s="5" t="s">
        <v>1900</v>
      </c>
      <c r="H256" s="5" t="s">
        <v>114</v>
      </c>
      <c r="I256" s="5" t="s">
        <v>745</v>
      </c>
      <c r="J256" s="5" t="s">
        <v>1901</v>
      </c>
    </row>
    <row r="257" customFormat="false" ht="75" hidden="false" customHeight="true" outlineLevel="0" collapsed="false">
      <c r="A257" s="5" t="s">
        <v>1902</v>
      </c>
      <c r="B257" s="5" t="s">
        <v>426</v>
      </c>
      <c r="C257" s="5" t="s">
        <v>1903</v>
      </c>
      <c r="D257" s="5" t="s">
        <v>772</v>
      </c>
      <c r="E257" s="5" t="s">
        <v>888</v>
      </c>
      <c r="F257" s="5" t="s">
        <v>1904</v>
      </c>
      <c r="G257" s="5" t="s">
        <v>1905</v>
      </c>
      <c r="H257" s="5"/>
      <c r="I257" s="5" t="s">
        <v>745</v>
      </c>
      <c r="J257" s="5" t="s">
        <v>1906</v>
      </c>
    </row>
    <row r="258" customFormat="false" ht="75" hidden="false" customHeight="true" outlineLevel="0" collapsed="false">
      <c r="A258" s="5" t="s">
        <v>1907</v>
      </c>
      <c r="B258" s="5" t="s">
        <v>426</v>
      </c>
      <c r="C258" s="5" t="s">
        <v>1908</v>
      </c>
      <c r="D258" s="5" t="s">
        <v>749</v>
      </c>
      <c r="E258" s="5" t="s">
        <v>782</v>
      </c>
      <c r="F258" s="5" t="s">
        <v>1909</v>
      </c>
      <c r="G258" s="5" t="s">
        <v>1910</v>
      </c>
      <c r="H258" s="5"/>
      <c r="I258" s="5" t="s">
        <v>745</v>
      </c>
      <c r="J258" s="5" t="s">
        <v>1911</v>
      </c>
    </row>
    <row r="259" customFormat="false" ht="75" hidden="false" customHeight="true" outlineLevel="0" collapsed="false">
      <c r="A259" s="5" t="s">
        <v>1912</v>
      </c>
      <c r="B259" s="5" t="s">
        <v>426</v>
      </c>
      <c r="C259" s="5" t="s">
        <v>1913</v>
      </c>
      <c r="D259" s="5" t="s">
        <v>749</v>
      </c>
      <c r="E259" s="5" t="s">
        <v>762</v>
      </c>
      <c r="F259" s="5" t="s">
        <v>1914</v>
      </c>
      <c r="G259" s="5" t="s">
        <v>1915</v>
      </c>
      <c r="H259" s="5" t="s">
        <v>178</v>
      </c>
      <c r="I259" s="5" t="s">
        <v>745</v>
      </c>
      <c r="J259" s="5" t="s">
        <v>765</v>
      </c>
    </row>
    <row r="260" customFormat="false" ht="75" hidden="false" customHeight="true" outlineLevel="0" collapsed="false">
      <c r="A260" s="5" t="s">
        <v>1916</v>
      </c>
      <c r="B260" s="5" t="s">
        <v>426</v>
      </c>
      <c r="C260" s="5" t="s">
        <v>1917</v>
      </c>
      <c r="D260" s="5" t="s">
        <v>772</v>
      </c>
      <c r="E260" s="5" t="s">
        <v>762</v>
      </c>
      <c r="F260" s="5" t="s">
        <v>1918</v>
      </c>
      <c r="G260" s="5" t="s">
        <v>1919</v>
      </c>
      <c r="H260" s="5"/>
      <c r="I260" s="5" t="s">
        <v>745</v>
      </c>
      <c r="J260" s="5" t="s">
        <v>765</v>
      </c>
    </row>
    <row r="261" customFormat="false" ht="75" hidden="false" customHeight="true" outlineLevel="0" collapsed="false">
      <c r="A261" s="5" t="s">
        <v>1920</v>
      </c>
      <c r="B261" s="5" t="s">
        <v>426</v>
      </c>
      <c r="C261" s="5" t="s">
        <v>1921</v>
      </c>
      <c r="D261" s="5" t="s">
        <v>749</v>
      </c>
      <c r="E261" s="5" t="s">
        <v>782</v>
      </c>
      <c r="F261" s="5" t="s">
        <v>1922</v>
      </c>
      <c r="G261" s="5" t="s">
        <v>1923</v>
      </c>
      <c r="H261" s="5"/>
      <c r="I261" s="5" t="s">
        <v>745</v>
      </c>
      <c r="J261" s="5" t="s">
        <v>1924</v>
      </c>
    </row>
    <row r="262" customFormat="false" ht="75" hidden="false" customHeight="true" outlineLevel="0" collapsed="false">
      <c r="A262" s="5" t="s">
        <v>1925</v>
      </c>
      <c r="B262" s="5" t="s">
        <v>426</v>
      </c>
      <c r="C262" s="5" t="s">
        <v>1926</v>
      </c>
      <c r="D262" s="5" t="s">
        <v>772</v>
      </c>
      <c r="E262" s="5" t="s">
        <v>782</v>
      </c>
      <c r="F262" s="5" t="s">
        <v>1927</v>
      </c>
      <c r="G262" s="5" t="s">
        <v>1928</v>
      </c>
      <c r="H262" s="5"/>
      <c r="I262" s="5" t="s">
        <v>734</v>
      </c>
      <c r="J262" s="5" t="s">
        <v>1929</v>
      </c>
    </row>
    <row r="263" customFormat="false" ht="75" hidden="false" customHeight="true" outlineLevel="0" collapsed="false">
      <c r="A263" s="5" t="s">
        <v>1930</v>
      </c>
      <c r="B263" s="5" t="s">
        <v>426</v>
      </c>
      <c r="C263" s="5" t="s">
        <v>1931</v>
      </c>
      <c r="D263" s="5" t="s">
        <v>749</v>
      </c>
      <c r="E263" s="5" t="s">
        <v>782</v>
      </c>
      <c r="F263" s="5" t="s">
        <v>1932</v>
      </c>
      <c r="G263" s="5" t="s">
        <v>1933</v>
      </c>
      <c r="H263" s="5"/>
      <c r="I263" s="5" t="s">
        <v>745</v>
      </c>
      <c r="J263" s="5" t="s">
        <v>1934</v>
      </c>
    </row>
    <row r="264" customFormat="false" ht="75" hidden="false" customHeight="true" outlineLevel="0" collapsed="false">
      <c r="A264" s="5" t="s">
        <v>1935</v>
      </c>
      <c r="B264" s="5" t="s">
        <v>426</v>
      </c>
      <c r="C264" s="5" t="s">
        <v>1936</v>
      </c>
      <c r="D264" s="5" t="s">
        <v>772</v>
      </c>
      <c r="E264" s="5" t="s">
        <v>762</v>
      </c>
      <c r="F264" s="5" t="s">
        <v>1937</v>
      </c>
      <c r="G264" s="5" t="s">
        <v>1938</v>
      </c>
      <c r="H264" s="5"/>
      <c r="I264" s="5" t="s">
        <v>734</v>
      </c>
      <c r="J264" s="5" t="s">
        <v>1939</v>
      </c>
    </row>
    <row r="265" customFormat="false" ht="75" hidden="false" customHeight="true" outlineLevel="0" collapsed="false">
      <c r="A265" s="5" t="s">
        <v>1940</v>
      </c>
      <c r="B265" s="5" t="s">
        <v>426</v>
      </c>
      <c r="C265" s="5" t="s">
        <v>1941</v>
      </c>
      <c r="D265" s="5" t="s">
        <v>772</v>
      </c>
      <c r="E265" s="5" t="s">
        <v>762</v>
      </c>
      <c r="F265" s="5" t="s">
        <v>1942</v>
      </c>
      <c r="G265" s="5" t="s">
        <v>1943</v>
      </c>
      <c r="H265" s="5"/>
      <c r="I265" s="5" t="s">
        <v>745</v>
      </c>
      <c r="J265" s="5" t="s">
        <v>1944</v>
      </c>
    </row>
    <row r="266" customFormat="false" ht="75" hidden="false" customHeight="true" outlineLevel="0" collapsed="false">
      <c r="A266" s="5" t="s">
        <v>1945</v>
      </c>
      <c r="B266" s="5" t="s">
        <v>426</v>
      </c>
      <c r="C266" s="5" t="s">
        <v>1946</v>
      </c>
      <c r="D266" s="5" t="s">
        <v>749</v>
      </c>
      <c r="E266" s="5" t="s">
        <v>789</v>
      </c>
      <c r="F266" s="5" t="s">
        <v>1947</v>
      </c>
      <c r="G266" s="5" t="s">
        <v>1948</v>
      </c>
      <c r="H266" s="5" t="s">
        <v>1949</v>
      </c>
      <c r="I266" s="5" t="s">
        <v>753</v>
      </c>
      <c r="J266" s="5" t="s">
        <v>1950</v>
      </c>
    </row>
    <row r="267" customFormat="false" ht="75" hidden="false" customHeight="true" outlineLevel="0" collapsed="false">
      <c r="A267" s="5" t="s">
        <v>1951</v>
      </c>
      <c r="B267" s="5" t="s">
        <v>426</v>
      </c>
      <c r="C267" s="5" t="s">
        <v>1952</v>
      </c>
      <c r="D267" s="5" t="s">
        <v>772</v>
      </c>
      <c r="E267" s="5" t="s">
        <v>888</v>
      </c>
      <c r="F267" s="5" t="s">
        <v>1953</v>
      </c>
      <c r="G267" s="5" t="s">
        <v>1954</v>
      </c>
      <c r="H267" s="5"/>
      <c r="I267" s="5" t="s">
        <v>734</v>
      </c>
      <c r="J267" s="5" t="s">
        <v>1955</v>
      </c>
    </row>
    <row r="268" customFormat="false" ht="75" hidden="false" customHeight="true" outlineLevel="0" collapsed="false">
      <c r="A268" s="5" t="s">
        <v>1956</v>
      </c>
      <c r="B268" s="5" t="s">
        <v>426</v>
      </c>
      <c r="C268" s="5" t="s">
        <v>1957</v>
      </c>
      <c r="D268" s="5" t="s">
        <v>729</v>
      </c>
      <c r="E268" s="5" t="s">
        <v>750</v>
      </c>
      <c r="F268" s="5" t="s">
        <v>1958</v>
      </c>
      <c r="G268" s="5" t="s">
        <v>1959</v>
      </c>
      <c r="H268" s="5" t="s">
        <v>106</v>
      </c>
      <c r="I268" s="5" t="s">
        <v>753</v>
      </c>
      <c r="J268" s="5" t="s">
        <v>1960</v>
      </c>
    </row>
    <row r="269" customFormat="false" ht="75" hidden="false" customHeight="true" outlineLevel="0" collapsed="false">
      <c r="A269" s="5" t="s">
        <v>1961</v>
      </c>
      <c r="B269" s="5" t="s">
        <v>426</v>
      </c>
      <c r="C269" s="5" t="s">
        <v>1962</v>
      </c>
      <c r="D269" s="5" t="s">
        <v>772</v>
      </c>
      <c r="E269" s="5" t="s">
        <v>789</v>
      </c>
      <c r="F269" s="5" t="s">
        <v>1963</v>
      </c>
      <c r="G269" s="5" t="s">
        <v>1964</v>
      </c>
      <c r="H269" s="5"/>
      <c r="I269" s="5" t="s">
        <v>753</v>
      </c>
      <c r="J269" s="5" t="s">
        <v>1965</v>
      </c>
    </row>
    <row r="270" customFormat="false" ht="75" hidden="false" customHeight="true" outlineLevel="0" collapsed="false">
      <c r="A270" s="5" t="s">
        <v>1966</v>
      </c>
      <c r="B270" s="5" t="s">
        <v>426</v>
      </c>
      <c r="C270" s="5" t="s">
        <v>1967</v>
      </c>
      <c r="D270" s="5" t="s">
        <v>749</v>
      </c>
      <c r="E270" s="5" t="s">
        <v>782</v>
      </c>
      <c r="F270" s="5" t="s">
        <v>1968</v>
      </c>
      <c r="G270" s="5" t="s">
        <v>1969</v>
      </c>
      <c r="H270" s="5"/>
      <c r="I270" s="5" t="s">
        <v>785</v>
      </c>
      <c r="J270" s="5" t="s">
        <v>1970</v>
      </c>
    </row>
    <row r="271" customFormat="false" ht="75" hidden="false" customHeight="true" outlineLevel="0" collapsed="false">
      <c r="A271" s="5" t="s">
        <v>1971</v>
      </c>
      <c r="B271" s="5" t="s">
        <v>434</v>
      </c>
      <c r="C271" s="5" t="s">
        <v>1972</v>
      </c>
      <c r="D271" s="5" t="s">
        <v>729</v>
      </c>
      <c r="E271" s="5" t="s">
        <v>730</v>
      </c>
      <c r="F271" s="5" t="s">
        <v>1973</v>
      </c>
      <c r="G271" s="5" t="s">
        <v>1974</v>
      </c>
      <c r="H271" s="5"/>
      <c r="I271" s="5" t="s">
        <v>745</v>
      </c>
      <c r="J271" s="5" t="s">
        <v>837</v>
      </c>
    </row>
    <row r="272" customFormat="false" ht="75" hidden="false" customHeight="true" outlineLevel="0" collapsed="false">
      <c r="A272" s="5" t="s">
        <v>1975</v>
      </c>
      <c r="B272" s="5" t="s">
        <v>434</v>
      </c>
      <c r="C272" s="5" t="s">
        <v>1976</v>
      </c>
      <c r="D272" s="5" t="s">
        <v>729</v>
      </c>
      <c r="E272" s="5" t="s">
        <v>924</v>
      </c>
      <c r="F272" s="5" t="s">
        <v>1977</v>
      </c>
      <c r="G272" s="5" t="s">
        <v>1978</v>
      </c>
      <c r="H272" s="5"/>
      <c r="I272" s="5" t="s">
        <v>753</v>
      </c>
      <c r="J272" s="5" t="s">
        <v>1979</v>
      </c>
    </row>
    <row r="273" customFormat="false" ht="75" hidden="false" customHeight="true" outlineLevel="0" collapsed="false">
      <c r="A273" s="5" t="s">
        <v>1980</v>
      </c>
      <c r="B273" s="5" t="s">
        <v>434</v>
      </c>
      <c r="C273" s="5" t="s">
        <v>1981</v>
      </c>
      <c r="D273" s="5" t="s">
        <v>729</v>
      </c>
      <c r="E273" s="5" t="s">
        <v>730</v>
      </c>
      <c r="F273" s="5" t="s">
        <v>1982</v>
      </c>
      <c r="G273" s="5" t="s">
        <v>438</v>
      </c>
      <c r="H273" s="5"/>
      <c r="I273" s="5" t="s">
        <v>745</v>
      </c>
      <c r="J273" s="5" t="s">
        <v>1983</v>
      </c>
    </row>
    <row r="274" customFormat="false" ht="75" hidden="false" customHeight="true" outlineLevel="0" collapsed="false">
      <c r="A274" s="5" t="s">
        <v>1984</v>
      </c>
      <c r="B274" s="5" t="s">
        <v>434</v>
      </c>
      <c r="C274" s="5" t="s">
        <v>1706</v>
      </c>
      <c r="D274" s="5" t="s">
        <v>749</v>
      </c>
      <c r="E274" s="5" t="s">
        <v>730</v>
      </c>
      <c r="F274" s="5" t="s">
        <v>1985</v>
      </c>
      <c r="G274" s="5" t="s">
        <v>1986</v>
      </c>
      <c r="H274" s="5"/>
      <c r="I274" s="5" t="s">
        <v>734</v>
      </c>
      <c r="J274" s="5" t="s">
        <v>973</v>
      </c>
    </row>
    <row r="275" customFormat="false" ht="75" hidden="false" customHeight="true" outlineLevel="0" collapsed="false">
      <c r="A275" s="5" t="s">
        <v>1987</v>
      </c>
      <c r="B275" s="5" t="s">
        <v>434</v>
      </c>
      <c r="C275" s="5" t="s">
        <v>1988</v>
      </c>
      <c r="D275" s="5" t="s">
        <v>729</v>
      </c>
      <c r="E275" s="5" t="s">
        <v>730</v>
      </c>
      <c r="F275" s="5" t="s">
        <v>1989</v>
      </c>
      <c r="G275" s="5" t="s">
        <v>1990</v>
      </c>
      <c r="H275" s="5"/>
      <c r="I275" s="5" t="s">
        <v>745</v>
      </c>
      <c r="J275" s="5" t="s">
        <v>1224</v>
      </c>
    </row>
    <row r="276" customFormat="false" ht="75" hidden="false" customHeight="true" outlineLevel="0" collapsed="false">
      <c r="A276" s="5" t="s">
        <v>1991</v>
      </c>
      <c r="B276" s="5" t="s">
        <v>434</v>
      </c>
      <c r="C276" s="5" t="s">
        <v>1992</v>
      </c>
      <c r="D276" s="5" t="s">
        <v>729</v>
      </c>
      <c r="E276" s="5" t="s">
        <v>750</v>
      </c>
      <c r="F276" s="5" t="s">
        <v>1993</v>
      </c>
      <c r="G276" s="5" t="s">
        <v>1994</v>
      </c>
      <c r="H276" s="5" t="s">
        <v>1995</v>
      </c>
      <c r="I276" s="5" t="s">
        <v>734</v>
      </c>
      <c r="J276" s="5" t="s">
        <v>1996</v>
      </c>
    </row>
    <row r="277" customFormat="false" ht="75" hidden="false" customHeight="true" outlineLevel="0" collapsed="false">
      <c r="A277" s="5" t="s">
        <v>1997</v>
      </c>
      <c r="B277" s="5" t="s">
        <v>434</v>
      </c>
      <c r="C277" s="5" t="s">
        <v>1998</v>
      </c>
      <c r="D277" s="5" t="s">
        <v>772</v>
      </c>
      <c r="E277" s="5" t="s">
        <v>888</v>
      </c>
      <c r="F277" s="5" t="s">
        <v>1999</v>
      </c>
      <c r="G277" s="5" t="s">
        <v>2000</v>
      </c>
      <c r="H277" s="5"/>
      <c r="I277" s="5" t="s">
        <v>745</v>
      </c>
      <c r="J277" s="5" t="s">
        <v>2001</v>
      </c>
    </row>
    <row r="278" customFormat="false" ht="75" hidden="false" customHeight="true" outlineLevel="0" collapsed="false">
      <c r="A278" s="5" t="s">
        <v>2002</v>
      </c>
      <c r="B278" s="5" t="s">
        <v>434</v>
      </c>
      <c r="C278" s="5" t="s">
        <v>2003</v>
      </c>
      <c r="D278" s="5" t="s">
        <v>749</v>
      </c>
      <c r="E278" s="5" t="s">
        <v>782</v>
      </c>
      <c r="F278" s="5" t="s">
        <v>2004</v>
      </c>
      <c r="G278" s="5" t="s">
        <v>2005</v>
      </c>
      <c r="H278" s="5"/>
      <c r="I278" s="5" t="s">
        <v>745</v>
      </c>
      <c r="J278" s="5" t="s">
        <v>765</v>
      </c>
    </row>
    <row r="279" customFormat="false" ht="75" hidden="false" customHeight="true" outlineLevel="0" collapsed="false">
      <c r="A279" s="5" t="s">
        <v>2006</v>
      </c>
      <c r="B279" s="5" t="s">
        <v>434</v>
      </c>
      <c r="C279" s="5" t="s">
        <v>2007</v>
      </c>
      <c r="D279" s="5" t="s">
        <v>749</v>
      </c>
      <c r="E279" s="5" t="s">
        <v>782</v>
      </c>
      <c r="F279" s="5" t="s">
        <v>2008</v>
      </c>
      <c r="G279" s="5" t="s">
        <v>2005</v>
      </c>
      <c r="H279" s="5" t="s">
        <v>178</v>
      </c>
      <c r="I279" s="5" t="s">
        <v>745</v>
      </c>
      <c r="J279" s="5" t="s">
        <v>765</v>
      </c>
    </row>
    <row r="280" customFormat="false" ht="75" hidden="false" customHeight="true" outlineLevel="0" collapsed="false">
      <c r="A280" s="5" t="s">
        <v>2009</v>
      </c>
      <c r="B280" s="5" t="s">
        <v>434</v>
      </c>
      <c r="C280" s="5" t="s">
        <v>2010</v>
      </c>
      <c r="D280" s="5" t="s">
        <v>772</v>
      </c>
      <c r="E280" s="5" t="s">
        <v>762</v>
      </c>
      <c r="F280" s="5" t="s">
        <v>2011</v>
      </c>
      <c r="G280" s="5" t="s">
        <v>2005</v>
      </c>
      <c r="H280" s="5"/>
      <c r="I280" s="5" t="s">
        <v>745</v>
      </c>
      <c r="J280" s="5" t="s">
        <v>765</v>
      </c>
    </row>
    <row r="281" customFormat="false" ht="75" hidden="false" customHeight="true" outlineLevel="0" collapsed="false">
      <c r="A281" s="5" t="s">
        <v>2012</v>
      </c>
      <c r="B281" s="5" t="s">
        <v>434</v>
      </c>
      <c r="C281" s="5" t="s">
        <v>2013</v>
      </c>
      <c r="D281" s="5" t="s">
        <v>729</v>
      </c>
      <c r="E281" s="5" t="s">
        <v>789</v>
      </c>
      <c r="F281" s="5" t="s">
        <v>2014</v>
      </c>
      <c r="G281" s="5" t="s">
        <v>2015</v>
      </c>
      <c r="H281" s="5" t="s">
        <v>194</v>
      </c>
      <c r="I281" s="5" t="s">
        <v>753</v>
      </c>
      <c r="J281" s="5" t="s">
        <v>1543</v>
      </c>
    </row>
    <row r="282" customFormat="false" ht="75" hidden="false" customHeight="true" outlineLevel="0" collapsed="false">
      <c r="A282" s="5" t="s">
        <v>2016</v>
      </c>
      <c r="B282" s="5" t="s">
        <v>434</v>
      </c>
      <c r="C282" s="5" t="s">
        <v>2017</v>
      </c>
      <c r="D282" s="5" t="s">
        <v>729</v>
      </c>
      <c r="E282" s="5" t="s">
        <v>789</v>
      </c>
      <c r="F282" s="5" t="s">
        <v>2018</v>
      </c>
      <c r="G282" s="5" t="s">
        <v>2019</v>
      </c>
      <c r="H282" s="5"/>
      <c r="I282" s="5" t="s">
        <v>785</v>
      </c>
      <c r="J282" s="5" t="s">
        <v>2020</v>
      </c>
    </row>
    <row r="283" customFormat="false" ht="75" hidden="false" customHeight="true" outlineLevel="0" collapsed="false">
      <c r="A283" s="5" t="s">
        <v>2021</v>
      </c>
      <c r="B283" s="5" t="s">
        <v>434</v>
      </c>
      <c r="C283" s="5" t="s">
        <v>2022</v>
      </c>
      <c r="D283" s="5" t="s">
        <v>749</v>
      </c>
      <c r="E283" s="5" t="s">
        <v>762</v>
      </c>
      <c r="F283" s="5" t="s">
        <v>2023</v>
      </c>
      <c r="G283" s="5" t="s">
        <v>2024</v>
      </c>
      <c r="H283" s="5"/>
      <c r="I283" s="5" t="s">
        <v>745</v>
      </c>
      <c r="J283" s="5" t="s">
        <v>2025</v>
      </c>
    </row>
    <row r="284" customFormat="false" ht="75" hidden="false" customHeight="true" outlineLevel="0" collapsed="false">
      <c r="A284" s="5" t="s">
        <v>2026</v>
      </c>
      <c r="B284" s="5" t="s">
        <v>434</v>
      </c>
      <c r="C284" s="5" t="s">
        <v>2027</v>
      </c>
      <c r="D284" s="5" t="s">
        <v>772</v>
      </c>
      <c r="E284" s="5" t="s">
        <v>888</v>
      </c>
      <c r="F284" s="5" t="s">
        <v>2028</v>
      </c>
      <c r="G284" s="5" t="s">
        <v>2029</v>
      </c>
      <c r="H284" s="5"/>
      <c r="I284" s="5" t="s">
        <v>745</v>
      </c>
      <c r="J284" s="5" t="s">
        <v>2030</v>
      </c>
    </row>
    <row r="285" customFormat="false" ht="75" hidden="false" customHeight="true" outlineLevel="0" collapsed="false">
      <c r="A285" s="5" t="s">
        <v>2031</v>
      </c>
      <c r="B285" s="5" t="s">
        <v>434</v>
      </c>
      <c r="C285" s="5" t="s">
        <v>2032</v>
      </c>
      <c r="D285" s="5" t="s">
        <v>772</v>
      </c>
      <c r="E285" s="5" t="s">
        <v>888</v>
      </c>
      <c r="F285" s="5" t="s">
        <v>2033</v>
      </c>
      <c r="G285" s="5" t="s">
        <v>2034</v>
      </c>
      <c r="H285" s="5"/>
      <c r="I285" s="5" t="s">
        <v>745</v>
      </c>
      <c r="J285" s="5" t="s">
        <v>2035</v>
      </c>
    </row>
    <row r="286" customFormat="false" ht="75" hidden="false" customHeight="true" outlineLevel="0" collapsed="false">
      <c r="A286" s="5" t="s">
        <v>2036</v>
      </c>
      <c r="B286" s="5" t="s">
        <v>434</v>
      </c>
      <c r="C286" s="5" t="s">
        <v>2037</v>
      </c>
      <c r="D286" s="5" t="s">
        <v>772</v>
      </c>
      <c r="E286" s="5" t="s">
        <v>888</v>
      </c>
      <c r="F286" s="5" t="s">
        <v>2038</v>
      </c>
      <c r="G286" s="5" t="s">
        <v>2039</v>
      </c>
      <c r="H286" s="5"/>
      <c r="I286" s="5" t="s">
        <v>734</v>
      </c>
      <c r="J286" s="5" t="s">
        <v>1955</v>
      </c>
    </row>
    <row r="287" customFormat="false" ht="75" hidden="false" customHeight="true" outlineLevel="0" collapsed="false">
      <c r="A287" s="5" t="s">
        <v>2040</v>
      </c>
      <c r="B287" s="5" t="s">
        <v>434</v>
      </c>
      <c r="C287" s="5" t="s">
        <v>2041</v>
      </c>
      <c r="D287" s="5" t="s">
        <v>729</v>
      </c>
      <c r="E287" s="5" t="s">
        <v>750</v>
      </c>
      <c r="F287" s="5" t="s">
        <v>2042</v>
      </c>
      <c r="G287" s="5" t="s">
        <v>2043</v>
      </c>
      <c r="H287" s="5" t="s">
        <v>242</v>
      </c>
      <c r="I287" s="5" t="s">
        <v>734</v>
      </c>
      <c r="J287" s="5" t="s">
        <v>2044</v>
      </c>
    </row>
    <row r="288" customFormat="false" ht="75" hidden="false" customHeight="true" outlineLevel="0" collapsed="false">
      <c r="A288" s="5" t="s">
        <v>2045</v>
      </c>
      <c r="B288" s="5" t="s">
        <v>443</v>
      </c>
      <c r="C288" s="5" t="s">
        <v>2046</v>
      </c>
      <c r="D288" s="5" t="s">
        <v>749</v>
      </c>
      <c r="E288" s="5" t="s">
        <v>730</v>
      </c>
      <c r="F288" s="5" t="s">
        <v>2047</v>
      </c>
      <c r="G288" s="5" t="s">
        <v>2048</v>
      </c>
      <c r="H288" s="5" t="s">
        <v>82</v>
      </c>
      <c r="I288" s="5" t="s">
        <v>734</v>
      </c>
      <c r="J288" s="5" t="s">
        <v>2049</v>
      </c>
    </row>
    <row r="289" customFormat="false" ht="75" hidden="false" customHeight="true" outlineLevel="0" collapsed="false">
      <c r="A289" s="5" t="s">
        <v>2050</v>
      </c>
      <c r="B289" s="5" t="s">
        <v>443</v>
      </c>
      <c r="C289" s="5" t="s">
        <v>2051</v>
      </c>
      <c r="D289" s="5" t="s">
        <v>729</v>
      </c>
      <c r="E289" s="5" t="s">
        <v>730</v>
      </c>
      <c r="F289" s="5" t="s">
        <v>2052</v>
      </c>
      <c r="G289" s="5" t="s">
        <v>2053</v>
      </c>
      <c r="H289" s="5"/>
      <c r="I289" s="5" t="s">
        <v>745</v>
      </c>
      <c r="J289" s="5" t="s">
        <v>2054</v>
      </c>
    </row>
    <row r="290" customFormat="false" ht="75" hidden="false" customHeight="true" outlineLevel="0" collapsed="false">
      <c r="A290" s="5" t="s">
        <v>2055</v>
      </c>
      <c r="B290" s="5" t="s">
        <v>443</v>
      </c>
      <c r="C290" s="5" t="s">
        <v>2056</v>
      </c>
      <c r="D290" s="5" t="s">
        <v>729</v>
      </c>
      <c r="E290" s="5" t="s">
        <v>730</v>
      </c>
      <c r="F290" s="5" t="s">
        <v>2057</v>
      </c>
      <c r="G290" s="5" t="s">
        <v>2058</v>
      </c>
      <c r="H290" s="5" t="s">
        <v>282</v>
      </c>
      <c r="I290" s="5" t="s">
        <v>753</v>
      </c>
      <c r="J290" s="5" t="s">
        <v>2059</v>
      </c>
    </row>
    <row r="291" customFormat="false" ht="75" hidden="false" customHeight="true" outlineLevel="0" collapsed="false">
      <c r="A291" s="5" t="s">
        <v>2060</v>
      </c>
      <c r="B291" s="5" t="s">
        <v>443</v>
      </c>
      <c r="C291" s="5" t="s">
        <v>2061</v>
      </c>
      <c r="D291" s="5" t="s">
        <v>729</v>
      </c>
      <c r="E291" s="5" t="s">
        <v>730</v>
      </c>
      <c r="F291" s="5" t="s">
        <v>2062</v>
      </c>
      <c r="G291" s="5" t="s">
        <v>446</v>
      </c>
      <c r="H291" s="5"/>
      <c r="I291" s="5" t="s">
        <v>745</v>
      </c>
      <c r="J291" s="5" t="s">
        <v>2063</v>
      </c>
    </row>
    <row r="292" customFormat="false" ht="75" hidden="false" customHeight="true" outlineLevel="0" collapsed="false">
      <c r="A292" s="5" t="s">
        <v>2064</v>
      </c>
      <c r="B292" s="5" t="s">
        <v>443</v>
      </c>
      <c r="C292" s="5" t="s">
        <v>2065</v>
      </c>
      <c r="D292" s="5" t="s">
        <v>749</v>
      </c>
      <c r="E292" s="5" t="s">
        <v>782</v>
      </c>
      <c r="F292" s="5" t="s">
        <v>2066</v>
      </c>
      <c r="G292" s="5" t="s">
        <v>2067</v>
      </c>
      <c r="H292" s="5" t="s">
        <v>178</v>
      </c>
      <c r="I292" s="5" t="s">
        <v>745</v>
      </c>
      <c r="J292" s="5" t="s">
        <v>765</v>
      </c>
    </row>
    <row r="293" customFormat="false" ht="75" hidden="false" customHeight="true" outlineLevel="0" collapsed="false">
      <c r="A293" s="5" t="s">
        <v>2068</v>
      </c>
      <c r="B293" s="5" t="s">
        <v>443</v>
      </c>
      <c r="C293" s="5" t="s">
        <v>2069</v>
      </c>
      <c r="D293" s="5" t="s">
        <v>772</v>
      </c>
      <c r="E293" s="5" t="s">
        <v>782</v>
      </c>
      <c r="F293" s="5" t="s">
        <v>2070</v>
      </c>
      <c r="G293" s="5" t="s">
        <v>2071</v>
      </c>
      <c r="H293" s="5"/>
      <c r="I293" s="5" t="s">
        <v>745</v>
      </c>
      <c r="J293" s="5" t="s">
        <v>1934</v>
      </c>
    </row>
    <row r="294" customFormat="false" ht="75" hidden="false" customHeight="true" outlineLevel="0" collapsed="false">
      <c r="A294" s="5" t="s">
        <v>2072</v>
      </c>
      <c r="B294" s="5" t="s">
        <v>443</v>
      </c>
      <c r="C294" s="5" t="s">
        <v>2073</v>
      </c>
      <c r="D294" s="5" t="s">
        <v>772</v>
      </c>
      <c r="E294" s="5" t="s">
        <v>762</v>
      </c>
      <c r="F294" s="5" t="s">
        <v>2074</v>
      </c>
      <c r="G294" s="5" t="s">
        <v>2071</v>
      </c>
      <c r="H294" s="5"/>
      <c r="I294" s="5" t="s">
        <v>745</v>
      </c>
      <c r="J294" s="5" t="s">
        <v>2075</v>
      </c>
    </row>
    <row r="295" customFormat="false" ht="75" hidden="false" customHeight="true" outlineLevel="0" collapsed="false">
      <c r="A295" s="5" t="s">
        <v>2076</v>
      </c>
      <c r="B295" s="5" t="s">
        <v>443</v>
      </c>
      <c r="C295" s="5" t="s">
        <v>2077</v>
      </c>
      <c r="D295" s="5" t="s">
        <v>772</v>
      </c>
      <c r="E295" s="5" t="s">
        <v>782</v>
      </c>
      <c r="F295" s="5" t="s">
        <v>2078</v>
      </c>
      <c r="G295" s="5" t="s">
        <v>2071</v>
      </c>
      <c r="H295" s="5" t="s">
        <v>250</v>
      </c>
      <c r="I295" s="5" t="s">
        <v>734</v>
      </c>
      <c r="J295" s="5" t="s">
        <v>2079</v>
      </c>
    </row>
    <row r="296" customFormat="false" ht="75" hidden="false" customHeight="true" outlineLevel="0" collapsed="false">
      <c r="A296" s="5" t="s">
        <v>2080</v>
      </c>
      <c r="B296" s="5" t="s">
        <v>443</v>
      </c>
      <c r="C296" s="5" t="s">
        <v>2081</v>
      </c>
      <c r="D296" s="5" t="s">
        <v>772</v>
      </c>
      <c r="E296" s="5" t="s">
        <v>888</v>
      </c>
      <c r="F296" s="5" t="s">
        <v>2082</v>
      </c>
      <c r="G296" s="5" t="s">
        <v>2071</v>
      </c>
      <c r="H296" s="5" t="s">
        <v>122</v>
      </c>
      <c r="I296" s="5" t="s">
        <v>745</v>
      </c>
      <c r="J296" s="5" t="s">
        <v>2083</v>
      </c>
    </row>
    <row r="297" customFormat="false" ht="75" hidden="false" customHeight="true" outlineLevel="0" collapsed="false">
      <c r="A297" s="5" t="s">
        <v>2084</v>
      </c>
      <c r="B297" s="5" t="s">
        <v>443</v>
      </c>
      <c r="C297" s="5" t="s">
        <v>2085</v>
      </c>
      <c r="D297" s="5" t="s">
        <v>772</v>
      </c>
      <c r="E297" s="5" t="s">
        <v>782</v>
      </c>
      <c r="F297" s="5" t="s">
        <v>2086</v>
      </c>
      <c r="G297" s="5" t="s">
        <v>2071</v>
      </c>
      <c r="H297" s="5"/>
      <c r="I297" s="5" t="s">
        <v>785</v>
      </c>
      <c r="J297" s="5" t="s">
        <v>2087</v>
      </c>
    </row>
    <row r="298" customFormat="false" ht="75" hidden="false" customHeight="true" outlineLevel="0" collapsed="false">
      <c r="A298" s="5" t="s">
        <v>2088</v>
      </c>
      <c r="B298" s="5" t="s">
        <v>443</v>
      </c>
      <c r="C298" s="5" t="s">
        <v>2089</v>
      </c>
      <c r="D298" s="5" t="s">
        <v>749</v>
      </c>
      <c r="E298" s="5" t="s">
        <v>782</v>
      </c>
      <c r="F298" s="5" t="s">
        <v>2090</v>
      </c>
      <c r="G298" s="5" t="s">
        <v>2071</v>
      </c>
      <c r="H298" s="5"/>
      <c r="I298" s="5" t="s">
        <v>734</v>
      </c>
      <c r="J298" s="5" t="s">
        <v>908</v>
      </c>
    </row>
    <row r="299" customFormat="false" ht="75" hidden="false" customHeight="true" outlineLevel="0" collapsed="false">
      <c r="A299" s="5" t="s">
        <v>2091</v>
      </c>
      <c r="B299" s="5" t="s">
        <v>443</v>
      </c>
      <c r="C299" s="5" t="s">
        <v>2092</v>
      </c>
      <c r="D299" s="5" t="s">
        <v>749</v>
      </c>
      <c r="E299" s="5" t="s">
        <v>789</v>
      </c>
      <c r="F299" s="5" t="s">
        <v>2093</v>
      </c>
      <c r="G299" s="5" t="s">
        <v>2071</v>
      </c>
      <c r="H299" s="5"/>
      <c r="I299" s="5" t="s">
        <v>753</v>
      </c>
      <c r="J299" s="5" t="s">
        <v>2094</v>
      </c>
    </row>
    <row r="300" customFormat="false" ht="75" hidden="false" customHeight="true" outlineLevel="0" collapsed="false">
      <c r="A300" s="5" t="s">
        <v>2095</v>
      </c>
      <c r="B300" s="5" t="s">
        <v>443</v>
      </c>
      <c r="C300" s="5" t="s">
        <v>2096</v>
      </c>
      <c r="D300" s="5" t="s">
        <v>729</v>
      </c>
      <c r="E300" s="5" t="s">
        <v>750</v>
      </c>
      <c r="F300" s="5" t="s">
        <v>2097</v>
      </c>
      <c r="G300" s="5" t="s">
        <v>446</v>
      </c>
      <c r="H300" s="5"/>
      <c r="I300" s="5" t="s">
        <v>785</v>
      </c>
      <c r="J300" s="5" t="s">
        <v>2098</v>
      </c>
    </row>
    <row r="301" customFormat="false" ht="75" hidden="false" customHeight="true" outlineLevel="0" collapsed="false">
      <c r="A301" s="5" t="s">
        <v>2099</v>
      </c>
      <c r="B301" s="5" t="s">
        <v>443</v>
      </c>
      <c r="C301" s="5" t="s">
        <v>2100</v>
      </c>
      <c r="D301" s="5" t="s">
        <v>729</v>
      </c>
      <c r="E301" s="5" t="s">
        <v>924</v>
      </c>
      <c r="F301" s="5" t="s">
        <v>2101</v>
      </c>
      <c r="G301" s="5" t="s">
        <v>2102</v>
      </c>
      <c r="H301" s="5" t="s">
        <v>218</v>
      </c>
      <c r="I301" s="5" t="s">
        <v>753</v>
      </c>
      <c r="J301" s="5" t="s">
        <v>2103</v>
      </c>
    </row>
    <row r="302" customFormat="false" ht="75" hidden="false" customHeight="true" outlineLevel="0" collapsed="false">
      <c r="A302" s="5" t="s">
        <v>2104</v>
      </c>
      <c r="B302" s="5" t="s">
        <v>451</v>
      </c>
      <c r="C302" s="5" t="s">
        <v>2105</v>
      </c>
      <c r="D302" s="5" t="s">
        <v>729</v>
      </c>
      <c r="E302" s="5" t="s">
        <v>730</v>
      </c>
      <c r="F302" s="5" t="s">
        <v>2106</v>
      </c>
      <c r="G302" s="5" t="s">
        <v>2107</v>
      </c>
      <c r="H302" s="5"/>
      <c r="I302" s="5" t="s">
        <v>745</v>
      </c>
      <c r="J302" s="5" t="s">
        <v>2108</v>
      </c>
    </row>
    <row r="303" customFormat="false" ht="75" hidden="false" customHeight="true" outlineLevel="0" collapsed="false">
      <c r="A303" s="5" t="s">
        <v>2109</v>
      </c>
      <c r="B303" s="5" t="s">
        <v>451</v>
      </c>
      <c r="C303" s="5" t="s">
        <v>2110</v>
      </c>
      <c r="D303" s="5" t="s">
        <v>729</v>
      </c>
      <c r="E303" s="5" t="s">
        <v>730</v>
      </c>
      <c r="F303" s="5" t="s">
        <v>2111</v>
      </c>
      <c r="G303" s="5" t="s">
        <v>2107</v>
      </c>
      <c r="H303" s="5"/>
      <c r="I303" s="5" t="s">
        <v>745</v>
      </c>
      <c r="J303" s="5" t="s">
        <v>2112</v>
      </c>
    </row>
    <row r="304" customFormat="false" ht="75" hidden="false" customHeight="true" outlineLevel="0" collapsed="false">
      <c r="A304" s="5" t="s">
        <v>2113</v>
      </c>
      <c r="B304" s="5" t="s">
        <v>451</v>
      </c>
      <c r="C304" s="5" t="s">
        <v>2114</v>
      </c>
      <c r="D304" s="5" t="s">
        <v>729</v>
      </c>
      <c r="E304" s="5" t="s">
        <v>782</v>
      </c>
      <c r="F304" s="5" t="s">
        <v>2115</v>
      </c>
      <c r="G304" s="5" t="s">
        <v>2107</v>
      </c>
      <c r="H304" s="5" t="s">
        <v>170</v>
      </c>
      <c r="I304" s="5" t="s">
        <v>745</v>
      </c>
      <c r="J304" s="5" t="s">
        <v>2116</v>
      </c>
    </row>
    <row r="305" customFormat="false" ht="75" hidden="false" customHeight="true" outlineLevel="0" collapsed="false">
      <c r="A305" s="5" t="s">
        <v>2117</v>
      </c>
      <c r="B305" s="5" t="s">
        <v>451</v>
      </c>
      <c r="C305" s="5" t="s">
        <v>2118</v>
      </c>
      <c r="D305" s="5" t="s">
        <v>729</v>
      </c>
      <c r="E305" s="5" t="s">
        <v>762</v>
      </c>
      <c r="F305" s="5" t="s">
        <v>2119</v>
      </c>
      <c r="G305" s="5" t="s">
        <v>2107</v>
      </c>
      <c r="H305" s="5" t="s">
        <v>178</v>
      </c>
      <c r="I305" s="5" t="s">
        <v>745</v>
      </c>
      <c r="J305" s="5" t="s">
        <v>765</v>
      </c>
    </row>
    <row r="306" customFormat="false" ht="75" hidden="false" customHeight="true" outlineLevel="0" collapsed="false">
      <c r="A306" s="5" t="s">
        <v>2120</v>
      </c>
      <c r="B306" s="5" t="s">
        <v>451</v>
      </c>
      <c r="C306" s="5" t="s">
        <v>2121</v>
      </c>
      <c r="D306" s="5" t="s">
        <v>749</v>
      </c>
      <c r="E306" s="5" t="s">
        <v>762</v>
      </c>
      <c r="F306" s="5" t="s">
        <v>2122</v>
      </c>
      <c r="G306" s="5" t="s">
        <v>2107</v>
      </c>
      <c r="H306" s="5"/>
      <c r="I306" s="5" t="s">
        <v>734</v>
      </c>
      <c r="J306" s="5" t="s">
        <v>2123</v>
      </c>
    </row>
    <row r="307" customFormat="false" ht="75" hidden="false" customHeight="true" outlineLevel="0" collapsed="false">
      <c r="A307" s="5" t="s">
        <v>2124</v>
      </c>
      <c r="B307" s="5" t="s">
        <v>451</v>
      </c>
      <c r="C307" s="5" t="s">
        <v>2125</v>
      </c>
      <c r="D307" s="5" t="s">
        <v>749</v>
      </c>
      <c r="E307" s="5" t="s">
        <v>782</v>
      </c>
      <c r="F307" s="5" t="s">
        <v>2126</v>
      </c>
      <c r="G307" s="5" t="s">
        <v>2127</v>
      </c>
      <c r="H307" s="5"/>
      <c r="I307" s="5" t="s">
        <v>745</v>
      </c>
      <c r="J307" s="5" t="s">
        <v>765</v>
      </c>
    </row>
    <row r="308" customFormat="false" ht="75" hidden="false" customHeight="true" outlineLevel="0" collapsed="false">
      <c r="A308" s="5" t="s">
        <v>2128</v>
      </c>
      <c r="B308" s="5" t="s">
        <v>451</v>
      </c>
      <c r="C308" s="5" t="s">
        <v>2129</v>
      </c>
      <c r="D308" s="5" t="s">
        <v>749</v>
      </c>
      <c r="E308" s="5" t="s">
        <v>782</v>
      </c>
      <c r="F308" s="5" t="s">
        <v>2130</v>
      </c>
      <c r="G308" s="5" t="s">
        <v>2131</v>
      </c>
      <c r="H308" s="5" t="s">
        <v>226</v>
      </c>
      <c r="I308" s="5" t="s">
        <v>745</v>
      </c>
      <c r="J308" s="5" t="s">
        <v>765</v>
      </c>
    </row>
    <row r="309" customFormat="false" ht="75" hidden="false" customHeight="true" outlineLevel="0" collapsed="false">
      <c r="A309" s="5" t="s">
        <v>2132</v>
      </c>
      <c r="B309" s="5" t="s">
        <v>451</v>
      </c>
      <c r="C309" s="5" t="s">
        <v>2133</v>
      </c>
      <c r="D309" s="5" t="s">
        <v>729</v>
      </c>
      <c r="E309" s="5" t="s">
        <v>730</v>
      </c>
      <c r="F309" s="5" t="s">
        <v>2134</v>
      </c>
      <c r="G309" s="5" t="s">
        <v>2135</v>
      </c>
      <c r="H309" s="5"/>
      <c r="I309" s="5" t="s">
        <v>745</v>
      </c>
      <c r="J309" s="5" t="s">
        <v>2136</v>
      </c>
    </row>
    <row r="310" customFormat="false" ht="75" hidden="false" customHeight="true" outlineLevel="0" collapsed="false">
      <c r="A310" s="5" t="s">
        <v>2137</v>
      </c>
      <c r="B310" s="5" t="s">
        <v>451</v>
      </c>
      <c r="C310" s="5" t="s">
        <v>2138</v>
      </c>
      <c r="D310" s="5" t="s">
        <v>749</v>
      </c>
      <c r="E310" s="5" t="s">
        <v>730</v>
      </c>
      <c r="F310" s="5" t="s">
        <v>2139</v>
      </c>
      <c r="G310" s="5" t="s">
        <v>2127</v>
      </c>
      <c r="H310" s="5" t="s">
        <v>2140</v>
      </c>
      <c r="I310" s="5" t="s">
        <v>745</v>
      </c>
      <c r="J310" s="5" t="s">
        <v>2141</v>
      </c>
    </row>
    <row r="311" customFormat="false" ht="75" hidden="false" customHeight="true" outlineLevel="0" collapsed="false">
      <c r="A311" s="5" t="s">
        <v>2142</v>
      </c>
      <c r="B311" s="5" t="s">
        <v>451</v>
      </c>
      <c r="C311" s="5" t="s">
        <v>2143</v>
      </c>
      <c r="D311" s="5" t="s">
        <v>749</v>
      </c>
      <c r="E311" s="5" t="s">
        <v>888</v>
      </c>
      <c r="F311" s="5" t="s">
        <v>2144</v>
      </c>
      <c r="G311" s="5" t="s">
        <v>2135</v>
      </c>
      <c r="H311" s="5" t="s">
        <v>956</v>
      </c>
      <c r="I311" s="5" t="s">
        <v>745</v>
      </c>
      <c r="J311" s="5" t="s">
        <v>2145</v>
      </c>
    </row>
    <row r="312" customFormat="false" ht="75" hidden="false" customHeight="true" outlineLevel="0" collapsed="false">
      <c r="A312" s="5" t="s">
        <v>2146</v>
      </c>
      <c r="B312" s="5" t="s">
        <v>451</v>
      </c>
      <c r="C312" s="5" t="s">
        <v>2147</v>
      </c>
      <c r="D312" s="5" t="s">
        <v>772</v>
      </c>
      <c r="E312" s="5" t="s">
        <v>888</v>
      </c>
      <c r="F312" s="5" t="s">
        <v>2148</v>
      </c>
      <c r="G312" s="5" t="s">
        <v>2149</v>
      </c>
      <c r="H312" s="5"/>
      <c r="I312" s="5" t="s">
        <v>745</v>
      </c>
      <c r="J312" s="5" t="s">
        <v>2150</v>
      </c>
    </row>
    <row r="313" customFormat="false" ht="75" hidden="false" customHeight="true" outlineLevel="0" collapsed="false">
      <c r="A313" s="5" t="s">
        <v>2151</v>
      </c>
      <c r="B313" s="5" t="s">
        <v>451</v>
      </c>
      <c r="C313" s="5" t="s">
        <v>2152</v>
      </c>
      <c r="D313" s="5" t="s">
        <v>729</v>
      </c>
      <c r="E313" s="5" t="s">
        <v>789</v>
      </c>
      <c r="F313" s="5" t="s">
        <v>2153</v>
      </c>
      <c r="G313" s="5" t="s">
        <v>455</v>
      </c>
      <c r="H313" s="5"/>
      <c r="I313" s="5" t="s">
        <v>753</v>
      </c>
      <c r="J313" s="5" t="s">
        <v>1543</v>
      </c>
    </row>
    <row r="314" customFormat="false" ht="75" hidden="false" customHeight="true" outlineLevel="0" collapsed="false">
      <c r="A314" s="5" t="s">
        <v>2154</v>
      </c>
      <c r="B314" s="5" t="s">
        <v>451</v>
      </c>
      <c r="C314" s="5" t="s">
        <v>2155</v>
      </c>
      <c r="D314" s="5" t="s">
        <v>749</v>
      </c>
      <c r="E314" s="5" t="s">
        <v>789</v>
      </c>
      <c r="F314" s="5" t="s">
        <v>2156</v>
      </c>
      <c r="G314" s="5" t="s">
        <v>2107</v>
      </c>
      <c r="H314" s="5" t="s">
        <v>194</v>
      </c>
      <c r="I314" s="5" t="s">
        <v>753</v>
      </c>
      <c r="J314" s="5" t="s">
        <v>2157</v>
      </c>
    </row>
    <row r="315" customFormat="false" ht="75" hidden="false" customHeight="true" outlineLevel="0" collapsed="false">
      <c r="A315" s="5" t="s">
        <v>2158</v>
      </c>
      <c r="B315" s="5" t="s">
        <v>451</v>
      </c>
      <c r="C315" s="5" t="s">
        <v>2159</v>
      </c>
      <c r="D315" s="5" t="s">
        <v>749</v>
      </c>
      <c r="E315" s="5" t="s">
        <v>782</v>
      </c>
      <c r="F315" s="5" t="s">
        <v>2160</v>
      </c>
      <c r="G315" s="5" t="s">
        <v>2107</v>
      </c>
      <c r="H315" s="5"/>
      <c r="I315" s="5" t="s">
        <v>734</v>
      </c>
      <c r="J315" s="5" t="s">
        <v>2161</v>
      </c>
    </row>
    <row r="316" customFormat="false" ht="75" hidden="false" customHeight="true" outlineLevel="0" collapsed="false">
      <c r="A316" s="5" t="s">
        <v>2162</v>
      </c>
      <c r="B316" s="5" t="s">
        <v>451</v>
      </c>
      <c r="C316" s="5" t="s">
        <v>2163</v>
      </c>
      <c r="D316" s="5" t="s">
        <v>772</v>
      </c>
      <c r="E316" s="5" t="s">
        <v>782</v>
      </c>
      <c r="F316" s="5" t="s">
        <v>2164</v>
      </c>
      <c r="G316" s="5" t="s">
        <v>2107</v>
      </c>
      <c r="H316" s="5" t="s">
        <v>250</v>
      </c>
      <c r="I316" s="5" t="s">
        <v>734</v>
      </c>
      <c r="J316" s="5" t="s">
        <v>2079</v>
      </c>
    </row>
    <row r="317" customFormat="false" ht="75" hidden="false" customHeight="true" outlineLevel="0" collapsed="false">
      <c r="A317" s="5" t="s">
        <v>2165</v>
      </c>
      <c r="B317" s="5" t="s">
        <v>451</v>
      </c>
      <c r="C317" s="5" t="s">
        <v>2166</v>
      </c>
      <c r="D317" s="5" t="s">
        <v>772</v>
      </c>
      <c r="E317" s="5" t="s">
        <v>924</v>
      </c>
      <c r="F317" s="5" t="s">
        <v>2167</v>
      </c>
      <c r="G317" s="5" t="s">
        <v>2107</v>
      </c>
      <c r="H317" s="5" t="s">
        <v>114</v>
      </c>
      <c r="I317" s="5" t="s">
        <v>753</v>
      </c>
      <c r="J317" s="5" t="s">
        <v>900</v>
      </c>
    </row>
    <row r="318" customFormat="false" ht="75" hidden="false" customHeight="true" outlineLevel="0" collapsed="false">
      <c r="A318" s="5" t="s">
        <v>2168</v>
      </c>
      <c r="B318" s="5" t="s">
        <v>451</v>
      </c>
      <c r="C318" s="5" t="s">
        <v>2169</v>
      </c>
      <c r="D318" s="5" t="s">
        <v>749</v>
      </c>
      <c r="E318" s="5" t="s">
        <v>782</v>
      </c>
      <c r="F318" s="5" t="s">
        <v>2170</v>
      </c>
      <c r="G318" s="5" t="s">
        <v>2107</v>
      </c>
      <c r="H318" s="5"/>
      <c r="I318" s="5" t="s">
        <v>745</v>
      </c>
      <c r="J318" s="5" t="s">
        <v>1934</v>
      </c>
    </row>
    <row r="319" customFormat="false" ht="75" hidden="false" customHeight="true" outlineLevel="0" collapsed="false">
      <c r="A319" s="5" t="s">
        <v>2171</v>
      </c>
      <c r="B319" s="5" t="s">
        <v>451</v>
      </c>
      <c r="C319" s="5" t="s">
        <v>2172</v>
      </c>
      <c r="D319" s="5" t="s">
        <v>772</v>
      </c>
      <c r="E319" s="5" t="s">
        <v>762</v>
      </c>
      <c r="F319" s="5" t="s">
        <v>2173</v>
      </c>
      <c r="G319" s="5" t="s">
        <v>2107</v>
      </c>
      <c r="H319" s="5" t="s">
        <v>1266</v>
      </c>
      <c r="I319" s="5" t="s">
        <v>734</v>
      </c>
      <c r="J319" s="5" t="s">
        <v>2174</v>
      </c>
    </row>
    <row r="320" customFormat="false" ht="75" hidden="false" customHeight="true" outlineLevel="0" collapsed="false">
      <c r="A320" s="5" t="s">
        <v>2175</v>
      </c>
      <c r="B320" s="5" t="s">
        <v>451</v>
      </c>
      <c r="C320" s="5" t="s">
        <v>2176</v>
      </c>
      <c r="D320" s="5" t="s">
        <v>729</v>
      </c>
      <c r="E320" s="5" t="s">
        <v>750</v>
      </c>
      <c r="F320" s="5" t="s">
        <v>2177</v>
      </c>
      <c r="G320" s="5" t="s">
        <v>455</v>
      </c>
      <c r="H320" s="5" t="s">
        <v>218</v>
      </c>
      <c r="I320" s="5" t="s">
        <v>753</v>
      </c>
      <c r="J320" s="5" t="s">
        <v>2178</v>
      </c>
    </row>
    <row r="321" customFormat="false" ht="75" hidden="false" customHeight="true" outlineLevel="0" collapsed="false">
      <c r="A321" s="5" t="s">
        <v>2179</v>
      </c>
      <c r="B321" s="5" t="s">
        <v>451</v>
      </c>
      <c r="C321" s="5" t="s">
        <v>2180</v>
      </c>
      <c r="D321" s="5" t="s">
        <v>729</v>
      </c>
      <c r="E321" s="5" t="s">
        <v>924</v>
      </c>
      <c r="F321" s="5" t="s">
        <v>2181</v>
      </c>
      <c r="G321" s="5" t="s">
        <v>2182</v>
      </c>
      <c r="H321" s="5" t="s">
        <v>138</v>
      </c>
      <c r="I321" s="5" t="s">
        <v>753</v>
      </c>
      <c r="J321" s="5" t="s">
        <v>1823</v>
      </c>
    </row>
    <row r="322" customFormat="false" ht="75" hidden="false" customHeight="true" outlineLevel="0" collapsed="false">
      <c r="A322" s="5" t="s">
        <v>2183</v>
      </c>
      <c r="B322" s="5" t="s">
        <v>460</v>
      </c>
      <c r="C322" s="5" t="s">
        <v>2184</v>
      </c>
      <c r="D322" s="5" t="s">
        <v>729</v>
      </c>
      <c r="E322" s="5" t="s">
        <v>730</v>
      </c>
      <c r="F322" s="5" t="s">
        <v>2185</v>
      </c>
      <c r="G322" s="5" t="s">
        <v>2186</v>
      </c>
      <c r="H322" s="5" t="s">
        <v>2187</v>
      </c>
      <c r="I322" s="5" t="s">
        <v>734</v>
      </c>
      <c r="J322" s="5" t="s">
        <v>2188</v>
      </c>
    </row>
    <row r="323" customFormat="false" ht="75" hidden="false" customHeight="true" outlineLevel="0" collapsed="false">
      <c r="A323" s="5" t="s">
        <v>2189</v>
      </c>
      <c r="B323" s="5" t="s">
        <v>460</v>
      </c>
      <c r="C323" s="5" t="s">
        <v>2190</v>
      </c>
      <c r="D323" s="5" t="s">
        <v>729</v>
      </c>
      <c r="E323" s="5" t="s">
        <v>730</v>
      </c>
      <c r="F323" s="5" t="s">
        <v>2191</v>
      </c>
      <c r="G323" s="5" t="s">
        <v>2192</v>
      </c>
      <c r="H323" s="5"/>
      <c r="I323" s="5" t="s">
        <v>745</v>
      </c>
      <c r="J323" s="5" t="s">
        <v>2193</v>
      </c>
    </row>
    <row r="324" customFormat="false" ht="75" hidden="false" customHeight="true" outlineLevel="0" collapsed="false">
      <c r="A324" s="5" t="s">
        <v>2194</v>
      </c>
      <c r="B324" s="5" t="s">
        <v>460</v>
      </c>
      <c r="C324" s="5" t="s">
        <v>2195</v>
      </c>
      <c r="D324" s="5" t="s">
        <v>729</v>
      </c>
      <c r="E324" s="5" t="s">
        <v>730</v>
      </c>
      <c r="F324" s="5" t="s">
        <v>2196</v>
      </c>
      <c r="G324" s="5" t="s">
        <v>2197</v>
      </c>
      <c r="H324" s="5" t="s">
        <v>138</v>
      </c>
      <c r="I324" s="5" t="s">
        <v>753</v>
      </c>
      <c r="J324" s="5" t="s">
        <v>2198</v>
      </c>
    </row>
    <row r="325" customFormat="false" ht="75" hidden="false" customHeight="true" outlineLevel="0" collapsed="false">
      <c r="A325" s="5" t="s">
        <v>2199</v>
      </c>
      <c r="B325" s="5" t="s">
        <v>460</v>
      </c>
      <c r="C325" s="5" t="s">
        <v>2200</v>
      </c>
      <c r="D325" s="5" t="s">
        <v>772</v>
      </c>
      <c r="E325" s="5" t="s">
        <v>888</v>
      </c>
      <c r="F325" s="5" t="s">
        <v>2201</v>
      </c>
      <c r="G325" s="5" t="s">
        <v>2202</v>
      </c>
      <c r="H325" s="5" t="s">
        <v>114</v>
      </c>
      <c r="I325" s="5" t="s">
        <v>745</v>
      </c>
      <c r="J325" s="5" t="s">
        <v>2203</v>
      </c>
    </row>
    <row r="326" customFormat="false" ht="75" hidden="false" customHeight="true" outlineLevel="0" collapsed="false">
      <c r="A326" s="5" t="s">
        <v>2204</v>
      </c>
      <c r="B326" s="5" t="s">
        <v>460</v>
      </c>
      <c r="C326" s="5" t="s">
        <v>2205</v>
      </c>
      <c r="D326" s="5" t="s">
        <v>772</v>
      </c>
      <c r="E326" s="5" t="s">
        <v>888</v>
      </c>
      <c r="F326" s="5" t="s">
        <v>2206</v>
      </c>
      <c r="G326" s="5" t="s">
        <v>2202</v>
      </c>
      <c r="H326" s="5"/>
      <c r="I326" s="5" t="s">
        <v>745</v>
      </c>
      <c r="J326" s="5" t="s">
        <v>2207</v>
      </c>
    </row>
    <row r="327" customFormat="false" ht="75" hidden="false" customHeight="true" outlineLevel="0" collapsed="false">
      <c r="A327" s="5" t="s">
        <v>2208</v>
      </c>
      <c r="B327" s="5" t="s">
        <v>460</v>
      </c>
      <c r="C327" s="5" t="s">
        <v>1848</v>
      </c>
      <c r="D327" s="5" t="s">
        <v>772</v>
      </c>
      <c r="E327" s="5" t="s">
        <v>782</v>
      </c>
      <c r="F327" s="5" t="s">
        <v>2209</v>
      </c>
      <c r="G327" s="5" t="s">
        <v>2202</v>
      </c>
      <c r="H327" s="5"/>
      <c r="I327" s="5" t="s">
        <v>734</v>
      </c>
      <c r="J327" s="5" t="s">
        <v>1850</v>
      </c>
    </row>
    <row r="328" customFormat="false" ht="75" hidden="false" customHeight="true" outlineLevel="0" collapsed="false">
      <c r="A328" s="5" t="s">
        <v>2210</v>
      </c>
      <c r="B328" s="5" t="s">
        <v>460</v>
      </c>
      <c r="C328" s="5" t="s">
        <v>2211</v>
      </c>
      <c r="D328" s="5" t="s">
        <v>772</v>
      </c>
      <c r="E328" s="5" t="s">
        <v>782</v>
      </c>
      <c r="F328" s="5" t="s">
        <v>2212</v>
      </c>
      <c r="G328" s="5" t="s">
        <v>2202</v>
      </c>
      <c r="H328" s="5"/>
      <c r="I328" s="5" t="s">
        <v>734</v>
      </c>
      <c r="J328" s="5" t="s">
        <v>2213</v>
      </c>
    </row>
    <row r="329" customFormat="false" ht="75" hidden="false" customHeight="true" outlineLevel="0" collapsed="false">
      <c r="A329" s="5" t="s">
        <v>2214</v>
      </c>
      <c r="B329" s="5" t="s">
        <v>460</v>
      </c>
      <c r="C329" s="5" t="s">
        <v>2215</v>
      </c>
      <c r="D329" s="5" t="s">
        <v>772</v>
      </c>
      <c r="E329" s="5" t="s">
        <v>782</v>
      </c>
      <c r="F329" s="5" t="s">
        <v>2216</v>
      </c>
      <c r="G329" s="5" t="s">
        <v>2202</v>
      </c>
      <c r="H329" s="5"/>
      <c r="I329" s="5" t="s">
        <v>734</v>
      </c>
      <c r="J329" s="5" t="s">
        <v>2217</v>
      </c>
    </row>
    <row r="330" customFormat="false" ht="75" hidden="false" customHeight="true" outlineLevel="0" collapsed="false">
      <c r="A330" s="5" t="s">
        <v>2218</v>
      </c>
      <c r="B330" s="5" t="s">
        <v>460</v>
      </c>
      <c r="C330" s="5" t="s">
        <v>2219</v>
      </c>
      <c r="D330" s="5" t="s">
        <v>749</v>
      </c>
      <c r="E330" s="5" t="s">
        <v>782</v>
      </c>
      <c r="F330" s="5" t="s">
        <v>2220</v>
      </c>
      <c r="G330" s="5" t="s">
        <v>2221</v>
      </c>
      <c r="H330" s="5" t="s">
        <v>1570</v>
      </c>
      <c r="I330" s="5" t="s">
        <v>745</v>
      </c>
      <c r="J330" s="5" t="s">
        <v>765</v>
      </c>
    </row>
    <row r="331" customFormat="false" ht="75" hidden="false" customHeight="true" outlineLevel="0" collapsed="false">
      <c r="A331" s="5" t="s">
        <v>2222</v>
      </c>
      <c r="B331" s="5" t="s">
        <v>460</v>
      </c>
      <c r="C331" s="5" t="s">
        <v>2223</v>
      </c>
      <c r="D331" s="5" t="s">
        <v>772</v>
      </c>
      <c r="E331" s="5" t="s">
        <v>782</v>
      </c>
      <c r="F331" s="5" t="s">
        <v>2224</v>
      </c>
      <c r="G331" s="5" t="s">
        <v>2202</v>
      </c>
      <c r="H331" s="5" t="s">
        <v>32</v>
      </c>
      <c r="I331" s="5" t="s">
        <v>734</v>
      </c>
      <c r="J331" s="5" t="s">
        <v>2225</v>
      </c>
    </row>
    <row r="332" customFormat="false" ht="75" hidden="false" customHeight="true" outlineLevel="0" collapsed="false">
      <c r="A332" s="5" t="s">
        <v>2226</v>
      </c>
      <c r="B332" s="5" t="s">
        <v>460</v>
      </c>
      <c r="C332" s="5" t="s">
        <v>2227</v>
      </c>
      <c r="D332" s="5" t="s">
        <v>749</v>
      </c>
      <c r="E332" s="5" t="s">
        <v>762</v>
      </c>
      <c r="F332" s="5" t="s">
        <v>2228</v>
      </c>
      <c r="G332" s="5" t="s">
        <v>2229</v>
      </c>
      <c r="H332" s="5"/>
      <c r="I332" s="5" t="s">
        <v>745</v>
      </c>
      <c r="J332" s="5" t="s">
        <v>765</v>
      </c>
    </row>
    <row r="333" customFormat="false" ht="75" hidden="false" customHeight="true" outlineLevel="0" collapsed="false">
      <c r="A333" s="5" t="s">
        <v>2230</v>
      </c>
      <c r="B333" s="5" t="s">
        <v>460</v>
      </c>
      <c r="C333" s="5" t="s">
        <v>2231</v>
      </c>
      <c r="D333" s="5" t="s">
        <v>772</v>
      </c>
      <c r="E333" s="5" t="s">
        <v>782</v>
      </c>
      <c r="F333" s="5" t="s">
        <v>2232</v>
      </c>
      <c r="G333" s="5" t="s">
        <v>2202</v>
      </c>
      <c r="H333" s="5"/>
      <c r="I333" s="5" t="s">
        <v>745</v>
      </c>
      <c r="J333" s="5" t="s">
        <v>2233</v>
      </c>
    </row>
    <row r="334" customFormat="false" ht="75" hidden="false" customHeight="true" outlineLevel="0" collapsed="false">
      <c r="A334" s="5" t="s">
        <v>2234</v>
      </c>
      <c r="B334" s="5" t="s">
        <v>460</v>
      </c>
      <c r="C334" s="5" t="s">
        <v>2235</v>
      </c>
      <c r="D334" s="5" t="s">
        <v>749</v>
      </c>
      <c r="E334" s="5" t="s">
        <v>782</v>
      </c>
      <c r="F334" s="5" t="s">
        <v>2236</v>
      </c>
      <c r="G334" s="5" t="s">
        <v>2237</v>
      </c>
      <c r="H334" s="5" t="s">
        <v>49</v>
      </c>
      <c r="I334" s="5" t="s">
        <v>734</v>
      </c>
      <c r="J334" s="5" t="s">
        <v>2238</v>
      </c>
    </row>
    <row r="335" customFormat="false" ht="75" hidden="false" customHeight="true" outlineLevel="0" collapsed="false">
      <c r="A335" s="5" t="s">
        <v>2239</v>
      </c>
      <c r="B335" s="5" t="s">
        <v>460</v>
      </c>
      <c r="C335" s="5" t="s">
        <v>2240</v>
      </c>
      <c r="D335" s="5" t="s">
        <v>749</v>
      </c>
      <c r="E335" s="5" t="s">
        <v>789</v>
      </c>
      <c r="F335" s="5" t="s">
        <v>2241</v>
      </c>
      <c r="G335" s="5" t="s">
        <v>2242</v>
      </c>
      <c r="H335" s="5" t="s">
        <v>194</v>
      </c>
      <c r="I335" s="5" t="s">
        <v>753</v>
      </c>
      <c r="J335" s="5" t="s">
        <v>2243</v>
      </c>
    </row>
    <row r="336" customFormat="false" ht="75" hidden="false" customHeight="true" outlineLevel="0" collapsed="false">
      <c r="A336" s="5" t="s">
        <v>2244</v>
      </c>
      <c r="B336" s="5" t="s">
        <v>460</v>
      </c>
      <c r="C336" s="5" t="s">
        <v>2245</v>
      </c>
      <c r="D336" s="5" t="s">
        <v>772</v>
      </c>
      <c r="E336" s="5" t="s">
        <v>762</v>
      </c>
      <c r="F336" s="5" t="s">
        <v>2246</v>
      </c>
      <c r="G336" s="5" t="s">
        <v>2247</v>
      </c>
      <c r="H336" s="5"/>
      <c r="I336" s="5" t="s">
        <v>734</v>
      </c>
      <c r="J336" s="5" t="s">
        <v>2248</v>
      </c>
    </row>
    <row r="337" customFormat="false" ht="75" hidden="false" customHeight="true" outlineLevel="0" collapsed="false">
      <c r="A337" s="5" t="s">
        <v>2249</v>
      </c>
      <c r="B337" s="5" t="s">
        <v>460</v>
      </c>
      <c r="C337" s="5" t="s">
        <v>2250</v>
      </c>
      <c r="D337" s="5" t="s">
        <v>772</v>
      </c>
      <c r="E337" s="5" t="s">
        <v>762</v>
      </c>
      <c r="F337" s="5" t="s">
        <v>2251</v>
      </c>
      <c r="G337" s="5" t="s">
        <v>2252</v>
      </c>
      <c r="H337" s="5" t="s">
        <v>122</v>
      </c>
      <c r="I337" s="5" t="s">
        <v>734</v>
      </c>
      <c r="J337" s="5" t="s">
        <v>2253</v>
      </c>
    </row>
    <row r="338" customFormat="false" ht="75" hidden="false" customHeight="true" outlineLevel="0" collapsed="false">
      <c r="A338" s="5" t="s">
        <v>2254</v>
      </c>
      <c r="B338" s="5" t="s">
        <v>460</v>
      </c>
      <c r="C338" s="5" t="s">
        <v>2255</v>
      </c>
      <c r="D338" s="5" t="s">
        <v>729</v>
      </c>
      <c r="E338" s="5" t="s">
        <v>924</v>
      </c>
      <c r="F338" s="5" t="s">
        <v>2256</v>
      </c>
      <c r="G338" s="5" t="s">
        <v>2257</v>
      </c>
      <c r="H338" s="5"/>
      <c r="I338" s="5" t="s">
        <v>745</v>
      </c>
      <c r="J338" s="5" t="s">
        <v>2258</v>
      </c>
    </row>
    <row r="339" customFormat="false" ht="75" hidden="false" customHeight="true" outlineLevel="0" collapsed="false">
      <c r="A339" s="5" t="s">
        <v>2259</v>
      </c>
      <c r="B339" s="5" t="s">
        <v>460</v>
      </c>
      <c r="C339" s="5" t="s">
        <v>2260</v>
      </c>
      <c r="D339" s="5" t="s">
        <v>729</v>
      </c>
      <c r="E339" s="5" t="s">
        <v>750</v>
      </c>
      <c r="F339" s="5" t="s">
        <v>2261</v>
      </c>
      <c r="G339" s="5" t="s">
        <v>464</v>
      </c>
      <c r="H339" s="5" t="s">
        <v>2262</v>
      </c>
      <c r="I339" s="5" t="s">
        <v>745</v>
      </c>
      <c r="J339" s="5" t="s">
        <v>2263</v>
      </c>
    </row>
    <row r="340" customFormat="false" ht="75" hidden="false" customHeight="true" outlineLevel="0" collapsed="false">
      <c r="A340" s="5" t="s">
        <v>2264</v>
      </c>
      <c r="B340" s="5" t="s">
        <v>469</v>
      </c>
      <c r="C340" s="5" t="s">
        <v>2265</v>
      </c>
      <c r="D340" s="5" t="s">
        <v>749</v>
      </c>
      <c r="E340" s="5" t="s">
        <v>782</v>
      </c>
      <c r="F340" s="5" t="s">
        <v>2266</v>
      </c>
      <c r="G340" s="5" t="s">
        <v>2267</v>
      </c>
      <c r="H340" s="5" t="s">
        <v>2268</v>
      </c>
      <c r="I340" s="5" t="s">
        <v>753</v>
      </c>
      <c r="J340" s="5" t="s">
        <v>2269</v>
      </c>
    </row>
    <row r="341" customFormat="false" ht="75" hidden="false" customHeight="true" outlineLevel="0" collapsed="false">
      <c r="A341" s="5" t="s">
        <v>2270</v>
      </c>
      <c r="B341" s="5" t="s">
        <v>469</v>
      </c>
      <c r="C341" s="5" t="s">
        <v>2271</v>
      </c>
      <c r="D341" s="5" t="s">
        <v>749</v>
      </c>
      <c r="E341" s="5" t="s">
        <v>782</v>
      </c>
      <c r="F341" s="5" t="s">
        <v>2272</v>
      </c>
      <c r="G341" s="5" t="s">
        <v>2273</v>
      </c>
      <c r="H341" s="5" t="s">
        <v>23</v>
      </c>
      <c r="I341" s="5" t="s">
        <v>734</v>
      </c>
      <c r="J341" s="5" t="s">
        <v>2274</v>
      </c>
    </row>
    <row r="342" customFormat="false" ht="75" hidden="false" customHeight="true" outlineLevel="0" collapsed="false">
      <c r="A342" s="5" t="s">
        <v>2275</v>
      </c>
      <c r="B342" s="5" t="s">
        <v>469</v>
      </c>
      <c r="C342" s="5" t="s">
        <v>2276</v>
      </c>
      <c r="D342" s="5" t="s">
        <v>749</v>
      </c>
      <c r="E342" s="5" t="s">
        <v>782</v>
      </c>
      <c r="F342" s="5" t="s">
        <v>2277</v>
      </c>
      <c r="G342" s="5" t="s">
        <v>2273</v>
      </c>
      <c r="H342" s="5" t="s">
        <v>23</v>
      </c>
      <c r="I342" s="5" t="s">
        <v>734</v>
      </c>
      <c r="J342" s="5" t="s">
        <v>1162</v>
      </c>
    </row>
    <row r="343" customFormat="false" ht="75" hidden="false" customHeight="true" outlineLevel="0" collapsed="false">
      <c r="A343" s="5" t="s">
        <v>2278</v>
      </c>
      <c r="B343" s="5" t="s">
        <v>469</v>
      </c>
      <c r="C343" s="5" t="s">
        <v>2279</v>
      </c>
      <c r="D343" s="5" t="s">
        <v>772</v>
      </c>
      <c r="E343" s="5" t="s">
        <v>782</v>
      </c>
      <c r="F343" s="5" t="s">
        <v>2280</v>
      </c>
      <c r="G343" s="5" t="s">
        <v>2273</v>
      </c>
      <c r="H343" s="5" t="s">
        <v>250</v>
      </c>
      <c r="I343" s="5" t="s">
        <v>734</v>
      </c>
      <c r="J343" s="5" t="s">
        <v>2079</v>
      </c>
    </row>
    <row r="344" customFormat="false" ht="75" hidden="false" customHeight="true" outlineLevel="0" collapsed="false">
      <c r="A344" s="5" t="s">
        <v>2281</v>
      </c>
      <c r="B344" s="5" t="s">
        <v>469</v>
      </c>
      <c r="C344" s="5" t="s">
        <v>2282</v>
      </c>
      <c r="D344" s="5" t="s">
        <v>749</v>
      </c>
      <c r="E344" s="5" t="s">
        <v>762</v>
      </c>
      <c r="F344" s="5" t="s">
        <v>2283</v>
      </c>
      <c r="G344" s="5" t="s">
        <v>2284</v>
      </c>
      <c r="H344" s="5" t="s">
        <v>178</v>
      </c>
      <c r="I344" s="5" t="s">
        <v>745</v>
      </c>
      <c r="J344" s="5" t="s">
        <v>765</v>
      </c>
    </row>
    <row r="345" customFormat="false" ht="75" hidden="false" customHeight="true" outlineLevel="0" collapsed="false">
      <c r="A345" s="5" t="s">
        <v>2285</v>
      </c>
      <c r="B345" s="5" t="s">
        <v>469</v>
      </c>
      <c r="C345" s="5" t="s">
        <v>2286</v>
      </c>
      <c r="D345" s="5" t="s">
        <v>749</v>
      </c>
      <c r="E345" s="5" t="s">
        <v>762</v>
      </c>
      <c r="F345" s="5" t="s">
        <v>2287</v>
      </c>
      <c r="G345" s="5" t="s">
        <v>2288</v>
      </c>
      <c r="H345" s="5"/>
      <c r="I345" s="5" t="s">
        <v>745</v>
      </c>
      <c r="J345" s="5" t="s">
        <v>765</v>
      </c>
    </row>
    <row r="346" customFormat="false" ht="75" hidden="false" customHeight="true" outlineLevel="0" collapsed="false">
      <c r="A346" s="5" t="s">
        <v>2289</v>
      </c>
      <c r="B346" s="5" t="s">
        <v>469</v>
      </c>
      <c r="C346" s="5" t="s">
        <v>2290</v>
      </c>
      <c r="D346" s="5" t="s">
        <v>772</v>
      </c>
      <c r="E346" s="5" t="s">
        <v>762</v>
      </c>
      <c r="F346" s="5" t="s">
        <v>2291</v>
      </c>
      <c r="G346" s="5" t="s">
        <v>2292</v>
      </c>
      <c r="H346" s="5"/>
      <c r="I346" s="5" t="s">
        <v>745</v>
      </c>
      <c r="J346" s="5" t="s">
        <v>765</v>
      </c>
    </row>
    <row r="347" customFormat="false" ht="75" hidden="false" customHeight="true" outlineLevel="0" collapsed="false">
      <c r="A347" s="5" t="s">
        <v>2293</v>
      </c>
      <c r="B347" s="5" t="s">
        <v>469</v>
      </c>
      <c r="C347" s="5" t="s">
        <v>2294</v>
      </c>
      <c r="D347" s="5" t="s">
        <v>772</v>
      </c>
      <c r="E347" s="5" t="s">
        <v>762</v>
      </c>
      <c r="F347" s="5" t="s">
        <v>2295</v>
      </c>
      <c r="G347" s="5" t="s">
        <v>2296</v>
      </c>
      <c r="H347" s="5"/>
      <c r="I347" s="5" t="s">
        <v>745</v>
      </c>
      <c r="J347" s="5" t="s">
        <v>765</v>
      </c>
    </row>
    <row r="348" customFormat="false" ht="75" hidden="false" customHeight="true" outlineLevel="0" collapsed="false">
      <c r="A348" s="5" t="s">
        <v>2297</v>
      </c>
      <c r="B348" s="5" t="s">
        <v>469</v>
      </c>
      <c r="C348" s="5" t="s">
        <v>2298</v>
      </c>
      <c r="D348" s="5" t="s">
        <v>749</v>
      </c>
      <c r="E348" s="5" t="s">
        <v>789</v>
      </c>
      <c r="F348" s="5" t="s">
        <v>2299</v>
      </c>
      <c r="G348" s="5" t="s">
        <v>2300</v>
      </c>
      <c r="H348" s="5" t="s">
        <v>1314</v>
      </c>
      <c r="I348" s="5" t="s">
        <v>734</v>
      </c>
      <c r="J348" s="5" t="s">
        <v>2301</v>
      </c>
    </row>
    <row r="349" customFormat="false" ht="75" hidden="false" customHeight="true" outlineLevel="0" collapsed="false">
      <c r="A349" s="5" t="s">
        <v>2302</v>
      </c>
      <c r="B349" s="5" t="s">
        <v>469</v>
      </c>
      <c r="C349" s="5" t="s">
        <v>2303</v>
      </c>
      <c r="D349" s="5" t="s">
        <v>749</v>
      </c>
      <c r="E349" s="5" t="s">
        <v>789</v>
      </c>
      <c r="F349" s="5" t="s">
        <v>2304</v>
      </c>
      <c r="G349" s="5" t="s">
        <v>2305</v>
      </c>
      <c r="H349" s="5" t="s">
        <v>194</v>
      </c>
      <c r="I349" s="5" t="s">
        <v>753</v>
      </c>
      <c r="J349" s="5" t="s">
        <v>2306</v>
      </c>
    </row>
    <row r="350" customFormat="false" ht="75" hidden="false" customHeight="true" outlineLevel="0" collapsed="false">
      <c r="A350" s="5" t="s">
        <v>2307</v>
      </c>
      <c r="B350" s="5" t="s">
        <v>469</v>
      </c>
      <c r="C350" s="5" t="s">
        <v>2308</v>
      </c>
      <c r="D350" s="5" t="s">
        <v>772</v>
      </c>
      <c r="E350" s="5" t="s">
        <v>888</v>
      </c>
      <c r="F350" s="5" t="s">
        <v>2309</v>
      </c>
      <c r="G350" s="5" t="s">
        <v>2310</v>
      </c>
      <c r="H350" s="5"/>
      <c r="I350" s="5" t="s">
        <v>745</v>
      </c>
      <c r="J350" s="5" t="s">
        <v>1858</v>
      </c>
    </row>
    <row r="351" customFormat="false" ht="75" hidden="false" customHeight="true" outlineLevel="0" collapsed="false">
      <c r="A351" s="5" t="s">
        <v>2311</v>
      </c>
      <c r="B351" s="5" t="s">
        <v>469</v>
      </c>
      <c r="C351" s="5" t="s">
        <v>2312</v>
      </c>
      <c r="D351" s="5" t="s">
        <v>772</v>
      </c>
      <c r="E351" s="5" t="s">
        <v>888</v>
      </c>
      <c r="F351" s="5" t="s">
        <v>2313</v>
      </c>
      <c r="G351" s="5" t="s">
        <v>2314</v>
      </c>
      <c r="H351" s="5"/>
      <c r="I351" s="5" t="s">
        <v>734</v>
      </c>
      <c r="J351" s="5" t="s">
        <v>2315</v>
      </c>
    </row>
    <row r="352" customFormat="false" ht="75" hidden="false" customHeight="true" outlineLevel="0" collapsed="false">
      <c r="A352" s="5" t="s">
        <v>2316</v>
      </c>
      <c r="B352" s="5" t="s">
        <v>469</v>
      </c>
      <c r="C352" s="5" t="s">
        <v>2317</v>
      </c>
      <c r="D352" s="5" t="s">
        <v>772</v>
      </c>
      <c r="E352" s="5" t="s">
        <v>782</v>
      </c>
      <c r="F352" s="5" t="s">
        <v>2318</v>
      </c>
      <c r="G352" s="5" t="s">
        <v>2319</v>
      </c>
      <c r="H352" s="5"/>
      <c r="I352" s="5" t="s">
        <v>785</v>
      </c>
      <c r="J352" s="5" t="s">
        <v>2320</v>
      </c>
    </row>
    <row r="353" customFormat="false" ht="75" hidden="false" customHeight="true" outlineLevel="0" collapsed="false">
      <c r="A353" s="5" t="s">
        <v>2321</v>
      </c>
      <c r="B353" s="5" t="s">
        <v>469</v>
      </c>
      <c r="C353" s="5" t="s">
        <v>2322</v>
      </c>
      <c r="D353" s="5" t="s">
        <v>729</v>
      </c>
      <c r="E353" s="5" t="s">
        <v>730</v>
      </c>
      <c r="F353" s="5" t="s">
        <v>2323</v>
      </c>
      <c r="G353" s="5" t="s">
        <v>2324</v>
      </c>
      <c r="H353" s="5"/>
      <c r="I353" s="5" t="s">
        <v>745</v>
      </c>
      <c r="J353" s="5" t="s">
        <v>2325</v>
      </c>
    </row>
    <row r="354" customFormat="false" ht="75" hidden="false" customHeight="true" outlineLevel="0" collapsed="false">
      <c r="A354" s="5" t="s">
        <v>2326</v>
      </c>
      <c r="B354" s="5" t="s">
        <v>469</v>
      </c>
      <c r="C354" s="5" t="s">
        <v>2327</v>
      </c>
      <c r="D354" s="5" t="s">
        <v>772</v>
      </c>
      <c r="E354" s="5" t="s">
        <v>924</v>
      </c>
      <c r="F354" s="5" t="s">
        <v>2328</v>
      </c>
      <c r="G354" s="5" t="s">
        <v>2329</v>
      </c>
      <c r="H354" s="5" t="s">
        <v>258</v>
      </c>
      <c r="I354" s="5" t="s">
        <v>745</v>
      </c>
      <c r="J354" s="5" t="s">
        <v>2330</v>
      </c>
    </row>
    <row r="355" customFormat="false" ht="75" hidden="false" customHeight="true" outlineLevel="0" collapsed="false">
      <c r="A355" s="5" t="s">
        <v>2331</v>
      </c>
      <c r="B355" s="5" t="s">
        <v>469</v>
      </c>
      <c r="C355" s="5" t="s">
        <v>2332</v>
      </c>
      <c r="D355" s="5" t="s">
        <v>749</v>
      </c>
      <c r="E355" s="5" t="s">
        <v>802</v>
      </c>
      <c r="F355" s="5" t="s">
        <v>2333</v>
      </c>
      <c r="G355" s="5" t="s">
        <v>2273</v>
      </c>
      <c r="H355" s="5" t="s">
        <v>41</v>
      </c>
      <c r="I355" s="5" t="s">
        <v>734</v>
      </c>
      <c r="J355" s="5" t="s">
        <v>2334</v>
      </c>
    </row>
    <row r="356" customFormat="false" ht="75" hidden="false" customHeight="true" outlineLevel="0" collapsed="false">
      <c r="A356" s="5" t="s">
        <v>2335</v>
      </c>
      <c r="B356" s="5" t="s">
        <v>478</v>
      </c>
      <c r="C356" s="5" t="s">
        <v>2336</v>
      </c>
      <c r="D356" s="5" t="s">
        <v>749</v>
      </c>
      <c r="E356" s="5" t="s">
        <v>730</v>
      </c>
      <c r="F356" s="5" t="s">
        <v>2337</v>
      </c>
      <c r="G356" s="5" t="s">
        <v>2338</v>
      </c>
      <c r="H356" s="5" t="s">
        <v>82</v>
      </c>
      <c r="I356" s="5" t="s">
        <v>734</v>
      </c>
      <c r="J356" s="5" t="s">
        <v>973</v>
      </c>
    </row>
    <row r="357" customFormat="false" ht="75" hidden="false" customHeight="true" outlineLevel="0" collapsed="false">
      <c r="A357" s="5" t="s">
        <v>2339</v>
      </c>
      <c r="B357" s="5" t="s">
        <v>478</v>
      </c>
      <c r="C357" s="5" t="s">
        <v>2340</v>
      </c>
      <c r="D357" s="5" t="s">
        <v>729</v>
      </c>
      <c r="E357" s="5" t="s">
        <v>730</v>
      </c>
      <c r="F357" s="5" t="s">
        <v>2341</v>
      </c>
      <c r="G357" s="5" t="s">
        <v>2342</v>
      </c>
      <c r="H357" s="5" t="s">
        <v>170</v>
      </c>
      <c r="I357" s="5" t="s">
        <v>745</v>
      </c>
      <c r="J357" s="5" t="s">
        <v>2343</v>
      </c>
    </row>
    <row r="358" customFormat="false" ht="75" hidden="false" customHeight="true" outlineLevel="0" collapsed="false">
      <c r="A358" s="5" t="s">
        <v>2344</v>
      </c>
      <c r="B358" s="5" t="s">
        <v>478</v>
      </c>
      <c r="C358" s="5" t="s">
        <v>756</v>
      </c>
      <c r="D358" s="5" t="s">
        <v>729</v>
      </c>
      <c r="E358" s="5" t="s">
        <v>730</v>
      </c>
      <c r="F358" s="5" t="s">
        <v>2345</v>
      </c>
      <c r="G358" s="5" t="s">
        <v>2346</v>
      </c>
      <c r="H358" s="5" t="s">
        <v>138</v>
      </c>
      <c r="I358" s="5" t="s">
        <v>753</v>
      </c>
      <c r="J358" s="5" t="s">
        <v>2347</v>
      </c>
    </row>
    <row r="359" customFormat="false" ht="75" hidden="false" customHeight="true" outlineLevel="0" collapsed="false">
      <c r="A359" s="5" t="s">
        <v>2348</v>
      </c>
      <c r="B359" s="5" t="s">
        <v>478</v>
      </c>
      <c r="C359" s="5" t="s">
        <v>2349</v>
      </c>
      <c r="D359" s="5" t="s">
        <v>729</v>
      </c>
      <c r="E359" s="5" t="s">
        <v>750</v>
      </c>
      <c r="F359" s="5" t="s">
        <v>2350</v>
      </c>
      <c r="G359" s="5" t="s">
        <v>482</v>
      </c>
      <c r="H359" s="5" t="s">
        <v>242</v>
      </c>
      <c r="I359" s="5" t="s">
        <v>734</v>
      </c>
      <c r="J359" s="5" t="s">
        <v>2351</v>
      </c>
    </row>
    <row r="360" customFormat="false" ht="75" hidden="false" customHeight="true" outlineLevel="0" collapsed="false">
      <c r="A360" s="5" t="s">
        <v>2352</v>
      </c>
      <c r="B360" s="5" t="s">
        <v>478</v>
      </c>
      <c r="C360" s="5" t="s">
        <v>2353</v>
      </c>
      <c r="D360" s="5" t="s">
        <v>729</v>
      </c>
      <c r="E360" s="5" t="s">
        <v>750</v>
      </c>
      <c r="F360" s="5" t="s">
        <v>2354</v>
      </c>
      <c r="G360" s="5" t="s">
        <v>482</v>
      </c>
      <c r="H360" s="5"/>
      <c r="I360" s="5" t="s">
        <v>785</v>
      </c>
      <c r="J360" s="5" t="s">
        <v>2355</v>
      </c>
    </row>
    <row r="361" customFormat="false" ht="75" hidden="false" customHeight="true" outlineLevel="0" collapsed="false">
      <c r="A361" s="5" t="s">
        <v>2356</v>
      </c>
      <c r="B361" s="5" t="s">
        <v>478</v>
      </c>
      <c r="C361" s="5" t="s">
        <v>2357</v>
      </c>
      <c r="D361" s="5" t="s">
        <v>749</v>
      </c>
      <c r="E361" s="5" t="s">
        <v>750</v>
      </c>
      <c r="F361" s="5" t="s">
        <v>2358</v>
      </c>
      <c r="G361" s="5" t="s">
        <v>482</v>
      </c>
      <c r="H361" s="5"/>
      <c r="I361" s="5" t="s">
        <v>745</v>
      </c>
      <c r="J361" s="5" t="s">
        <v>2359</v>
      </c>
    </row>
    <row r="362" customFormat="false" ht="75" hidden="false" customHeight="true" outlineLevel="0" collapsed="false">
      <c r="A362" s="5" t="s">
        <v>2360</v>
      </c>
      <c r="B362" s="5" t="s">
        <v>478</v>
      </c>
      <c r="C362" s="5" t="s">
        <v>2361</v>
      </c>
      <c r="D362" s="5" t="s">
        <v>749</v>
      </c>
      <c r="E362" s="5" t="s">
        <v>762</v>
      </c>
      <c r="F362" s="5" t="s">
        <v>2362</v>
      </c>
      <c r="G362" s="5" t="s">
        <v>2363</v>
      </c>
      <c r="H362" s="5"/>
      <c r="I362" s="5" t="s">
        <v>745</v>
      </c>
      <c r="J362" s="5" t="s">
        <v>765</v>
      </c>
    </row>
    <row r="363" customFormat="false" ht="75" hidden="false" customHeight="true" outlineLevel="0" collapsed="false">
      <c r="A363" s="5" t="s">
        <v>2364</v>
      </c>
      <c r="B363" s="5" t="s">
        <v>478</v>
      </c>
      <c r="C363" s="5" t="s">
        <v>2365</v>
      </c>
      <c r="D363" s="5" t="s">
        <v>772</v>
      </c>
      <c r="E363" s="5" t="s">
        <v>762</v>
      </c>
      <c r="F363" s="5" t="s">
        <v>2366</v>
      </c>
      <c r="G363" s="5" t="s">
        <v>2367</v>
      </c>
      <c r="H363" s="5"/>
      <c r="I363" s="5" t="s">
        <v>785</v>
      </c>
      <c r="J363" s="5" t="s">
        <v>2368</v>
      </c>
    </row>
    <row r="364" customFormat="false" ht="75" hidden="false" customHeight="true" outlineLevel="0" collapsed="false">
      <c r="A364" s="5" t="s">
        <v>2369</v>
      </c>
      <c r="B364" s="5" t="s">
        <v>478</v>
      </c>
      <c r="C364" s="5" t="s">
        <v>2370</v>
      </c>
      <c r="D364" s="5" t="s">
        <v>729</v>
      </c>
      <c r="E364" s="5" t="s">
        <v>802</v>
      </c>
      <c r="F364" s="5" t="s">
        <v>2371</v>
      </c>
      <c r="G364" s="5" t="s">
        <v>482</v>
      </c>
      <c r="H364" s="5" t="s">
        <v>162</v>
      </c>
      <c r="I364" s="5" t="s">
        <v>734</v>
      </c>
      <c r="J364" s="5" t="s">
        <v>2372</v>
      </c>
    </row>
    <row r="365" customFormat="false" ht="75" hidden="false" customHeight="true" outlineLevel="0" collapsed="false">
      <c r="A365" s="5" t="s">
        <v>2373</v>
      </c>
      <c r="B365" s="5" t="s">
        <v>478</v>
      </c>
      <c r="C365" s="5" t="s">
        <v>2374</v>
      </c>
      <c r="D365" s="5" t="s">
        <v>772</v>
      </c>
      <c r="E365" s="5" t="s">
        <v>782</v>
      </c>
      <c r="F365" s="5" t="s">
        <v>2375</v>
      </c>
      <c r="G365" s="5" t="s">
        <v>2376</v>
      </c>
      <c r="H365" s="5" t="s">
        <v>32</v>
      </c>
      <c r="I365" s="5" t="s">
        <v>734</v>
      </c>
      <c r="J365" s="5" t="s">
        <v>2377</v>
      </c>
    </row>
    <row r="366" customFormat="false" ht="75" hidden="false" customHeight="true" outlineLevel="0" collapsed="false">
      <c r="A366" s="5" t="s">
        <v>2378</v>
      </c>
      <c r="B366" s="5" t="s">
        <v>478</v>
      </c>
      <c r="C366" s="5" t="s">
        <v>2379</v>
      </c>
      <c r="D366" s="5" t="s">
        <v>772</v>
      </c>
      <c r="E366" s="5" t="s">
        <v>782</v>
      </c>
      <c r="F366" s="5" t="s">
        <v>2380</v>
      </c>
      <c r="G366" s="5" t="s">
        <v>2376</v>
      </c>
      <c r="H366" s="5" t="s">
        <v>32</v>
      </c>
      <c r="I366" s="5" t="s">
        <v>734</v>
      </c>
      <c r="J366" s="5" t="s">
        <v>2381</v>
      </c>
    </row>
    <row r="367" customFormat="false" ht="75" hidden="false" customHeight="true" outlineLevel="0" collapsed="false">
      <c r="A367" s="5" t="s">
        <v>2382</v>
      </c>
      <c r="B367" s="5" t="s">
        <v>478</v>
      </c>
      <c r="C367" s="5" t="s">
        <v>2383</v>
      </c>
      <c r="D367" s="5" t="s">
        <v>772</v>
      </c>
      <c r="E367" s="5" t="s">
        <v>782</v>
      </c>
      <c r="F367" s="5" t="s">
        <v>2384</v>
      </c>
      <c r="G367" s="5" t="s">
        <v>2376</v>
      </c>
      <c r="H367" s="5" t="s">
        <v>49</v>
      </c>
      <c r="I367" s="5" t="s">
        <v>734</v>
      </c>
      <c r="J367" s="5" t="s">
        <v>1095</v>
      </c>
    </row>
    <row r="368" customFormat="false" ht="75" hidden="false" customHeight="true" outlineLevel="0" collapsed="false">
      <c r="A368" s="5" t="s">
        <v>2385</v>
      </c>
      <c r="B368" s="5" t="s">
        <v>478</v>
      </c>
      <c r="C368" s="5" t="s">
        <v>2386</v>
      </c>
      <c r="D368" s="5" t="s">
        <v>772</v>
      </c>
      <c r="E368" s="5" t="s">
        <v>782</v>
      </c>
      <c r="F368" s="5" t="s">
        <v>2387</v>
      </c>
      <c r="G368" s="5" t="s">
        <v>2376</v>
      </c>
      <c r="H368" s="5" t="s">
        <v>32</v>
      </c>
      <c r="I368" s="5" t="s">
        <v>734</v>
      </c>
      <c r="J368" s="5" t="s">
        <v>2388</v>
      </c>
    </row>
    <row r="369" customFormat="false" ht="75" hidden="false" customHeight="true" outlineLevel="0" collapsed="false">
      <c r="A369" s="5" t="s">
        <v>2389</v>
      </c>
      <c r="B369" s="5" t="s">
        <v>478</v>
      </c>
      <c r="C369" s="5" t="s">
        <v>2390</v>
      </c>
      <c r="D369" s="5" t="s">
        <v>749</v>
      </c>
      <c r="E369" s="5" t="s">
        <v>888</v>
      </c>
      <c r="F369" s="5" t="s">
        <v>2391</v>
      </c>
      <c r="G369" s="5" t="s">
        <v>2376</v>
      </c>
      <c r="H369" s="5" t="s">
        <v>122</v>
      </c>
      <c r="I369" s="5" t="s">
        <v>734</v>
      </c>
      <c r="J369" s="5" t="s">
        <v>2392</v>
      </c>
    </row>
    <row r="370" customFormat="false" ht="75" hidden="false" customHeight="true" outlineLevel="0" collapsed="false">
      <c r="A370" s="5" t="s">
        <v>2393</v>
      </c>
      <c r="B370" s="5" t="s">
        <v>478</v>
      </c>
      <c r="C370" s="5" t="s">
        <v>2394</v>
      </c>
      <c r="D370" s="5" t="s">
        <v>772</v>
      </c>
      <c r="E370" s="5" t="s">
        <v>789</v>
      </c>
      <c r="F370" s="5" t="s">
        <v>2395</v>
      </c>
      <c r="G370" s="5" t="s">
        <v>2376</v>
      </c>
      <c r="H370" s="5" t="s">
        <v>798</v>
      </c>
      <c r="I370" s="5" t="s">
        <v>734</v>
      </c>
      <c r="J370" s="5" t="s">
        <v>2396</v>
      </c>
    </row>
    <row r="371" customFormat="false" ht="75" hidden="false" customHeight="true" outlineLevel="0" collapsed="false">
      <c r="A371" s="5" t="s">
        <v>2397</v>
      </c>
      <c r="B371" s="5" t="s">
        <v>478</v>
      </c>
      <c r="C371" s="5" t="s">
        <v>2398</v>
      </c>
      <c r="D371" s="5" t="s">
        <v>749</v>
      </c>
      <c r="E371" s="5" t="s">
        <v>762</v>
      </c>
      <c r="F371" s="5" t="s">
        <v>2399</v>
      </c>
      <c r="G371" s="5" t="s">
        <v>2376</v>
      </c>
      <c r="H371" s="5" t="s">
        <v>178</v>
      </c>
      <c r="I371" s="5" t="s">
        <v>745</v>
      </c>
      <c r="J371" s="5" t="s">
        <v>765</v>
      </c>
    </row>
    <row r="372" customFormat="false" ht="75" hidden="false" customHeight="true" outlineLevel="0" collapsed="false">
      <c r="A372" s="5" t="s">
        <v>2400</v>
      </c>
      <c r="B372" s="5" t="s">
        <v>478</v>
      </c>
      <c r="C372" s="5" t="s">
        <v>2401</v>
      </c>
      <c r="D372" s="5" t="s">
        <v>772</v>
      </c>
      <c r="E372" s="5" t="s">
        <v>782</v>
      </c>
      <c r="F372" s="5" t="s">
        <v>2402</v>
      </c>
      <c r="G372" s="5" t="s">
        <v>2376</v>
      </c>
      <c r="H372" s="5"/>
      <c r="I372" s="5" t="s">
        <v>745</v>
      </c>
      <c r="J372" s="5" t="s">
        <v>2403</v>
      </c>
    </row>
    <row r="373" customFormat="false" ht="75" hidden="false" customHeight="true" outlineLevel="0" collapsed="false">
      <c r="A373" s="5" t="s">
        <v>2404</v>
      </c>
      <c r="B373" s="5" t="s">
        <v>487</v>
      </c>
      <c r="C373" s="5" t="s">
        <v>2405</v>
      </c>
      <c r="D373" s="5" t="s">
        <v>749</v>
      </c>
      <c r="E373" s="5" t="s">
        <v>730</v>
      </c>
      <c r="F373" s="5" t="s">
        <v>2406</v>
      </c>
      <c r="G373" s="5" t="s">
        <v>2407</v>
      </c>
      <c r="H373" s="5" t="s">
        <v>2408</v>
      </c>
      <c r="I373" s="5" t="s">
        <v>734</v>
      </c>
      <c r="J373" s="5" t="s">
        <v>2409</v>
      </c>
    </row>
    <row r="374" customFormat="false" ht="75" hidden="false" customHeight="true" outlineLevel="0" collapsed="false">
      <c r="A374" s="5" t="s">
        <v>2410</v>
      </c>
      <c r="B374" s="5" t="s">
        <v>487</v>
      </c>
      <c r="C374" s="5" t="s">
        <v>2411</v>
      </c>
      <c r="D374" s="5" t="s">
        <v>749</v>
      </c>
      <c r="E374" s="5" t="s">
        <v>730</v>
      </c>
      <c r="F374" s="5" t="s">
        <v>2412</v>
      </c>
      <c r="G374" s="5" t="s">
        <v>2407</v>
      </c>
      <c r="H374" s="5" t="s">
        <v>290</v>
      </c>
      <c r="I374" s="5" t="s">
        <v>734</v>
      </c>
      <c r="J374" s="5" t="s">
        <v>2413</v>
      </c>
    </row>
    <row r="375" customFormat="false" ht="75" hidden="false" customHeight="true" outlineLevel="0" collapsed="false">
      <c r="A375" s="5" t="s">
        <v>2414</v>
      </c>
      <c r="B375" s="5" t="s">
        <v>487</v>
      </c>
      <c r="C375" s="5" t="s">
        <v>2415</v>
      </c>
      <c r="D375" s="5" t="s">
        <v>729</v>
      </c>
      <c r="E375" s="5" t="s">
        <v>730</v>
      </c>
      <c r="F375" s="5" t="s">
        <v>2416</v>
      </c>
      <c r="G375" s="5" t="s">
        <v>2417</v>
      </c>
      <c r="H375" s="5" t="s">
        <v>130</v>
      </c>
      <c r="I375" s="5" t="s">
        <v>745</v>
      </c>
      <c r="J375" s="5" t="s">
        <v>2418</v>
      </c>
    </row>
    <row r="376" customFormat="false" ht="75" hidden="false" customHeight="true" outlineLevel="0" collapsed="false">
      <c r="A376" s="5" t="s">
        <v>2419</v>
      </c>
      <c r="B376" s="5" t="s">
        <v>487</v>
      </c>
      <c r="C376" s="5" t="s">
        <v>2420</v>
      </c>
      <c r="D376" s="5" t="s">
        <v>729</v>
      </c>
      <c r="E376" s="5" t="s">
        <v>730</v>
      </c>
      <c r="F376" s="5" t="s">
        <v>2421</v>
      </c>
      <c r="G376" s="5" t="s">
        <v>2422</v>
      </c>
      <c r="H376" s="5"/>
      <c r="I376" s="5" t="s">
        <v>745</v>
      </c>
      <c r="J376" s="5" t="s">
        <v>2423</v>
      </c>
    </row>
    <row r="377" customFormat="false" ht="75" hidden="false" customHeight="true" outlineLevel="0" collapsed="false">
      <c r="A377" s="5" t="s">
        <v>2424</v>
      </c>
      <c r="B377" s="5" t="s">
        <v>487</v>
      </c>
      <c r="C377" s="5" t="s">
        <v>2425</v>
      </c>
      <c r="D377" s="5" t="s">
        <v>729</v>
      </c>
      <c r="E377" s="5" t="s">
        <v>789</v>
      </c>
      <c r="F377" s="5" t="s">
        <v>2426</v>
      </c>
      <c r="G377" s="5" t="s">
        <v>2427</v>
      </c>
      <c r="H377" s="5" t="s">
        <v>162</v>
      </c>
      <c r="I377" s="5" t="s">
        <v>734</v>
      </c>
      <c r="J377" s="5" t="s">
        <v>2428</v>
      </c>
    </row>
    <row r="378" customFormat="false" ht="75" hidden="false" customHeight="true" outlineLevel="0" collapsed="false">
      <c r="A378" s="5" t="s">
        <v>2429</v>
      </c>
      <c r="B378" s="5" t="s">
        <v>487</v>
      </c>
      <c r="C378" s="5" t="s">
        <v>2430</v>
      </c>
      <c r="D378" s="5" t="s">
        <v>772</v>
      </c>
      <c r="E378" s="5" t="s">
        <v>888</v>
      </c>
      <c r="F378" s="5" t="s">
        <v>2431</v>
      </c>
      <c r="G378" s="5" t="s">
        <v>2407</v>
      </c>
      <c r="H378" s="5"/>
      <c r="I378" s="5" t="s">
        <v>745</v>
      </c>
      <c r="J378" s="5" t="s">
        <v>2432</v>
      </c>
    </row>
    <row r="379" customFormat="false" ht="75" hidden="false" customHeight="true" outlineLevel="0" collapsed="false">
      <c r="A379" s="5" t="s">
        <v>2433</v>
      </c>
      <c r="B379" s="5" t="s">
        <v>487</v>
      </c>
      <c r="C379" s="5" t="s">
        <v>2434</v>
      </c>
      <c r="D379" s="5" t="s">
        <v>749</v>
      </c>
      <c r="E379" s="5" t="s">
        <v>924</v>
      </c>
      <c r="F379" s="5" t="s">
        <v>2435</v>
      </c>
      <c r="G379" s="5" t="s">
        <v>2436</v>
      </c>
      <c r="H379" s="5" t="s">
        <v>2437</v>
      </c>
      <c r="I379" s="5" t="s">
        <v>745</v>
      </c>
      <c r="J379" s="5" t="s">
        <v>765</v>
      </c>
    </row>
    <row r="380" customFormat="false" ht="75" hidden="false" customHeight="true" outlineLevel="0" collapsed="false">
      <c r="A380" s="5" t="s">
        <v>2438</v>
      </c>
      <c r="B380" s="5" t="s">
        <v>487</v>
      </c>
      <c r="C380" s="5" t="s">
        <v>2439</v>
      </c>
      <c r="D380" s="5" t="s">
        <v>749</v>
      </c>
      <c r="E380" s="5" t="s">
        <v>789</v>
      </c>
      <c r="F380" s="5" t="s">
        <v>2440</v>
      </c>
      <c r="G380" s="5" t="s">
        <v>2441</v>
      </c>
      <c r="H380" s="5" t="s">
        <v>194</v>
      </c>
      <c r="I380" s="5" t="s">
        <v>753</v>
      </c>
      <c r="J380" s="5" t="s">
        <v>2442</v>
      </c>
    </row>
    <row r="381" customFormat="false" ht="75" hidden="false" customHeight="true" outlineLevel="0" collapsed="false">
      <c r="A381" s="5" t="s">
        <v>2443</v>
      </c>
      <c r="B381" s="5" t="s">
        <v>487</v>
      </c>
      <c r="C381" s="5" t="s">
        <v>2444</v>
      </c>
      <c r="D381" s="5" t="s">
        <v>749</v>
      </c>
      <c r="E381" s="5" t="s">
        <v>789</v>
      </c>
      <c r="F381" s="5" t="s">
        <v>2445</v>
      </c>
      <c r="G381" s="5" t="s">
        <v>2446</v>
      </c>
      <c r="H381" s="5" t="s">
        <v>90</v>
      </c>
      <c r="I381" s="5" t="s">
        <v>734</v>
      </c>
      <c r="J381" s="5" t="s">
        <v>2447</v>
      </c>
    </row>
    <row r="382" customFormat="false" ht="75" hidden="false" customHeight="true" outlineLevel="0" collapsed="false">
      <c r="A382" s="5" t="s">
        <v>2448</v>
      </c>
      <c r="B382" s="5" t="s">
        <v>487</v>
      </c>
      <c r="C382" s="5" t="s">
        <v>2449</v>
      </c>
      <c r="D382" s="5" t="s">
        <v>749</v>
      </c>
      <c r="E382" s="5" t="s">
        <v>782</v>
      </c>
      <c r="F382" s="5" t="s">
        <v>2450</v>
      </c>
      <c r="G382" s="5" t="s">
        <v>2451</v>
      </c>
      <c r="H382" s="5"/>
      <c r="I382" s="5" t="s">
        <v>745</v>
      </c>
      <c r="J382" s="5" t="s">
        <v>765</v>
      </c>
    </row>
    <row r="383" customFormat="false" ht="75" hidden="false" customHeight="true" outlineLevel="0" collapsed="false">
      <c r="A383" s="5" t="s">
        <v>2452</v>
      </c>
      <c r="B383" s="5" t="s">
        <v>487</v>
      </c>
      <c r="C383" s="5" t="s">
        <v>2453</v>
      </c>
      <c r="D383" s="5" t="s">
        <v>772</v>
      </c>
      <c r="E383" s="5" t="s">
        <v>762</v>
      </c>
      <c r="F383" s="5" t="s">
        <v>2454</v>
      </c>
      <c r="G383" s="5" t="s">
        <v>2455</v>
      </c>
      <c r="H383" s="5"/>
      <c r="I383" s="5" t="s">
        <v>734</v>
      </c>
      <c r="J383" s="5" t="s">
        <v>2456</v>
      </c>
    </row>
    <row r="384" customFormat="false" ht="75" hidden="false" customHeight="true" outlineLevel="0" collapsed="false">
      <c r="A384" s="5" t="s">
        <v>2457</v>
      </c>
      <c r="B384" s="5" t="s">
        <v>487</v>
      </c>
      <c r="C384" s="5" t="s">
        <v>2458</v>
      </c>
      <c r="D384" s="5" t="s">
        <v>749</v>
      </c>
      <c r="E384" s="5" t="s">
        <v>782</v>
      </c>
      <c r="F384" s="5" t="s">
        <v>2459</v>
      </c>
      <c r="G384" s="5" t="s">
        <v>2460</v>
      </c>
      <c r="H384" s="5" t="s">
        <v>49</v>
      </c>
      <c r="I384" s="5" t="s">
        <v>734</v>
      </c>
      <c r="J384" s="5" t="s">
        <v>2461</v>
      </c>
    </row>
    <row r="385" customFormat="false" ht="75" hidden="false" customHeight="true" outlineLevel="0" collapsed="false">
      <c r="A385" s="5" t="s">
        <v>2462</v>
      </c>
      <c r="B385" s="5" t="s">
        <v>487</v>
      </c>
      <c r="C385" s="5" t="s">
        <v>2463</v>
      </c>
      <c r="D385" s="5" t="s">
        <v>772</v>
      </c>
      <c r="E385" s="5" t="s">
        <v>782</v>
      </c>
      <c r="F385" s="5" t="s">
        <v>2464</v>
      </c>
      <c r="G385" s="5" t="s">
        <v>2465</v>
      </c>
      <c r="H385" s="5"/>
      <c r="I385" s="5" t="s">
        <v>745</v>
      </c>
      <c r="J385" s="5" t="s">
        <v>2466</v>
      </c>
    </row>
    <row r="386" customFormat="false" ht="75" hidden="false" customHeight="true" outlineLevel="0" collapsed="false">
      <c r="A386" s="5" t="s">
        <v>2467</v>
      </c>
      <c r="B386" s="5" t="s">
        <v>487</v>
      </c>
      <c r="C386" s="5" t="s">
        <v>2468</v>
      </c>
      <c r="D386" s="5" t="s">
        <v>729</v>
      </c>
      <c r="E386" s="5" t="s">
        <v>750</v>
      </c>
      <c r="F386" s="5" t="s">
        <v>2469</v>
      </c>
      <c r="G386" s="5" t="s">
        <v>491</v>
      </c>
      <c r="H386" s="5"/>
      <c r="I386" s="5" t="s">
        <v>785</v>
      </c>
      <c r="J386" s="5" t="s">
        <v>2470</v>
      </c>
    </row>
    <row r="387" customFormat="false" ht="75" hidden="false" customHeight="true" outlineLevel="0" collapsed="false">
      <c r="A387" s="5" t="s">
        <v>2471</v>
      </c>
      <c r="B387" s="5" t="s">
        <v>496</v>
      </c>
      <c r="C387" s="5" t="s">
        <v>2472</v>
      </c>
      <c r="D387" s="5" t="s">
        <v>772</v>
      </c>
      <c r="E387" s="5" t="s">
        <v>730</v>
      </c>
      <c r="F387" s="5" t="s">
        <v>2473</v>
      </c>
      <c r="G387" s="5" t="s">
        <v>2474</v>
      </c>
      <c r="H387" s="5" t="s">
        <v>57</v>
      </c>
      <c r="I387" s="5" t="s">
        <v>734</v>
      </c>
      <c r="J387" s="5" t="s">
        <v>1136</v>
      </c>
    </row>
    <row r="388" customFormat="false" ht="75" hidden="false" customHeight="true" outlineLevel="0" collapsed="false">
      <c r="A388" s="5" t="s">
        <v>2475</v>
      </c>
      <c r="B388" s="5" t="s">
        <v>496</v>
      </c>
      <c r="C388" s="5" t="s">
        <v>2476</v>
      </c>
      <c r="D388" s="5" t="s">
        <v>729</v>
      </c>
      <c r="E388" s="5" t="s">
        <v>730</v>
      </c>
      <c r="F388" s="5" t="s">
        <v>2477</v>
      </c>
      <c r="G388" s="5" t="s">
        <v>2478</v>
      </c>
      <c r="H388" s="5" t="s">
        <v>130</v>
      </c>
      <c r="I388" s="5" t="s">
        <v>745</v>
      </c>
      <c r="J388" s="5" t="s">
        <v>1622</v>
      </c>
    </row>
    <row r="389" customFormat="false" ht="75" hidden="false" customHeight="true" outlineLevel="0" collapsed="false">
      <c r="A389" s="5" t="s">
        <v>2479</v>
      </c>
      <c r="B389" s="5" t="s">
        <v>496</v>
      </c>
      <c r="C389" s="5" t="s">
        <v>2480</v>
      </c>
      <c r="D389" s="5" t="s">
        <v>729</v>
      </c>
      <c r="E389" s="5" t="s">
        <v>730</v>
      </c>
      <c r="F389" s="5" t="s">
        <v>2481</v>
      </c>
      <c r="G389" s="5" t="s">
        <v>2482</v>
      </c>
      <c r="H389" s="5" t="s">
        <v>138</v>
      </c>
      <c r="I389" s="5" t="s">
        <v>753</v>
      </c>
      <c r="J389" s="5" t="s">
        <v>2483</v>
      </c>
    </row>
    <row r="390" customFormat="false" ht="75" hidden="false" customHeight="true" outlineLevel="0" collapsed="false">
      <c r="A390" s="5" t="s">
        <v>2484</v>
      </c>
      <c r="B390" s="5" t="s">
        <v>496</v>
      </c>
      <c r="C390" s="5" t="s">
        <v>2485</v>
      </c>
      <c r="D390" s="5" t="s">
        <v>749</v>
      </c>
      <c r="E390" s="5" t="s">
        <v>782</v>
      </c>
      <c r="F390" s="5" t="s">
        <v>2486</v>
      </c>
      <c r="G390" s="5" t="s">
        <v>2487</v>
      </c>
      <c r="H390" s="5" t="s">
        <v>178</v>
      </c>
      <c r="I390" s="5" t="s">
        <v>734</v>
      </c>
      <c r="J390" s="5" t="s">
        <v>1723</v>
      </c>
    </row>
    <row r="391" customFormat="false" ht="75" hidden="false" customHeight="true" outlineLevel="0" collapsed="false">
      <c r="A391" s="5" t="s">
        <v>2488</v>
      </c>
      <c r="B391" s="5" t="s">
        <v>496</v>
      </c>
      <c r="C391" s="5" t="s">
        <v>2489</v>
      </c>
      <c r="D391" s="5" t="s">
        <v>772</v>
      </c>
      <c r="E391" s="5" t="s">
        <v>762</v>
      </c>
      <c r="F391" s="5" t="s">
        <v>2490</v>
      </c>
      <c r="G391" s="5" t="s">
        <v>2487</v>
      </c>
      <c r="H391" s="5"/>
      <c r="I391" s="5" t="s">
        <v>745</v>
      </c>
      <c r="J391" s="5" t="s">
        <v>765</v>
      </c>
    </row>
    <row r="392" customFormat="false" ht="75" hidden="false" customHeight="true" outlineLevel="0" collapsed="false">
      <c r="A392" s="5" t="s">
        <v>2491</v>
      </c>
      <c r="B392" s="5" t="s">
        <v>496</v>
      </c>
      <c r="C392" s="5" t="s">
        <v>2492</v>
      </c>
      <c r="D392" s="5" t="s">
        <v>772</v>
      </c>
      <c r="E392" s="5" t="s">
        <v>782</v>
      </c>
      <c r="F392" s="5" t="s">
        <v>2493</v>
      </c>
      <c r="G392" s="5" t="s">
        <v>2494</v>
      </c>
      <c r="H392" s="5" t="s">
        <v>290</v>
      </c>
      <c r="I392" s="5" t="s">
        <v>785</v>
      </c>
      <c r="J392" s="5" t="s">
        <v>2495</v>
      </c>
    </row>
    <row r="393" customFormat="false" ht="75" hidden="false" customHeight="true" outlineLevel="0" collapsed="false">
      <c r="A393" s="5" t="s">
        <v>2496</v>
      </c>
      <c r="B393" s="5" t="s">
        <v>496</v>
      </c>
      <c r="C393" s="5" t="s">
        <v>2497</v>
      </c>
      <c r="D393" s="5" t="s">
        <v>772</v>
      </c>
      <c r="E393" s="5" t="s">
        <v>782</v>
      </c>
      <c r="F393" s="5" t="s">
        <v>2498</v>
      </c>
      <c r="G393" s="5" t="s">
        <v>2494</v>
      </c>
      <c r="H393" s="5"/>
      <c r="I393" s="5" t="s">
        <v>734</v>
      </c>
      <c r="J393" s="5" t="s">
        <v>1741</v>
      </c>
    </row>
    <row r="394" customFormat="false" ht="75" hidden="false" customHeight="true" outlineLevel="0" collapsed="false">
      <c r="A394" s="5" t="s">
        <v>2499</v>
      </c>
      <c r="B394" s="5" t="s">
        <v>496</v>
      </c>
      <c r="C394" s="5" t="s">
        <v>2500</v>
      </c>
      <c r="D394" s="5" t="s">
        <v>749</v>
      </c>
      <c r="E394" s="5" t="s">
        <v>782</v>
      </c>
      <c r="F394" s="5" t="s">
        <v>2501</v>
      </c>
      <c r="G394" s="5" t="s">
        <v>2494</v>
      </c>
      <c r="H394" s="5"/>
      <c r="I394" s="5" t="s">
        <v>785</v>
      </c>
      <c r="J394" s="5" t="s">
        <v>2502</v>
      </c>
    </row>
    <row r="395" customFormat="false" ht="75" hidden="false" customHeight="true" outlineLevel="0" collapsed="false">
      <c r="A395" s="5" t="s">
        <v>2503</v>
      </c>
      <c r="B395" s="5" t="s">
        <v>496</v>
      </c>
      <c r="C395" s="5" t="s">
        <v>2504</v>
      </c>
      <c r="D395" s="5" t="s">
        <v>749</v>
      </c>
      <c r="E395" s="5" t="s">
        <v>782</v>
      </c>
      <c r="F395" s="5" t="s">
        <v>2505</v>
      </c>
      <c r="G395" s="5" t="s">
        <v>2494</v>
      </c>
      <c r="H395" s="5" t="s">
        <v>210</v>
      </c>
      <c r="I395" s="5" t="s">
        <v>753</v>
      </c>
      <c r="J395" s="5" t="s">
        <v>2506</v>
      </c>
    </row>
    <row r="396" customFormat="false" ht="75" hidden="false" customHeight="true" outlineLevel="0" collapsed="false">
      <c r="A396" s="5" t="s">
        <v>2507</v>
      </c>
      <c r="B396" s="5" t="s">
        <v>496</v>
      </c>
      <c r="C396" s="5" t="s">
        <v>2508</v>
      </c>
      <c r="D396" s="5" t="s">
        <v>772</v>
      </c>
      <c r="E396" s="5" t="s">
        <v>789</v>
      </c>
      <c r="F396" s="5" t="s">
        <v>2509</v>
      </c>
      <c r="G396" s="5" t="s">
        <v>499</v>
      </c>
      <c r="H396" s="5"/>
      <c r="I396" s="5" t="s">
        <v>753</v>
      </c>
      <c r="J396" s="5" t="s">
        <v>2510</v>
      </c>
    </row>
    <row r="397" customFormat="false" ht="75" hidden="false" customHeight="true" outlineLevel="0" collapsed="false">
      <c r="A397" s="5" t="s">
        <v>2511</v>
      </c>
      <c r="B397" s="5" t="s">
        <v>496</v>
      </c>
      <c r="C397" s="5" t="s">
        <v>2512</v>
      </c>
      <c r="D397" s="5" t="s">
        <v>729</v>
      </c>
      <c r="E397" s="5" t="s">
        <v>924</v>
      </c>
      <c r="F397" s="5" t="s">
        <v>2513</v>
      </c>
      <c r="G397" s="5" t="s">
        <v>2514</v>
      </c>
      <c r="H397" s="5" t="s">
        <v>98</v>
      </c>
      <c r="I397" s="5" t="s">
        <v>745</v>
      </c>
      <c r="J397" s="5" t="s">
        <v>2515</v>
      </c>
    </row>
    <row r="398" customFormat="false" ht="75" hidden="false" customHeight="true" outlineLevel="0" collapsed="false">
      <c r="A398" s="5" t="s">
        <v>2516</v>
      </c>
      <c r="B398" s="5" t="s">
        <v>496</v>
      </c>
      <c r="C398" s="5" t="s">
        <v>2517</v>
      </c>
      <c r="D398" s="5" t="s">
        <v>729</v>
      </c>
      <c r="E398" s="5" t="s">
        <v>750</v>
      </c>
      <c r="F398" s="5" t="s">
        <v>2518</v>
      </c>
      <c r="G398" s="5" t="s">
        <v>2519</v>
      </c>
      <c r="H398" s="5"/>
      <c r="I398" s="5" t="s">
        <v>745</v>
      </c>
      <c r="J398" s="5" t="s">
        <v>1769</v>
      </c>
    </row>
    <row r="399" customFormat="false" ht="75" hidden="false" customHeight="true" outlineLevel="0" collapsed="false">
      <c r="A399" s="5" t="s">
        <v>2520</v>
      </c>
      <c r="B399" s="5" t="s">
        <v>504</v>
      </c>
      <c r="C399" s="5" t="s">
        <v>2521</v>
      </c>
      <c r="D399" s="5" t="s">
        <v>749</v>
      </c>
      <c r="E399" s="5" t="s">
        <v>730</v>
      </c>
      <c r="F399" s="5" t="s">
        <v>2522</v>
      </c>
      <c r="G399" s="5" t="s">
        <v>2523</v>
      </c>
      <c r="H399" s="5" t="s">
        <v>250</v>
      </c>
      <c r="I399" s="5" t="s">
        <v>734</v>
      </c>
      <c r="J399" s="5" t="s">
        <v>2524</v>
      </c>
    </row>
    <row r="400" customFormat="false" ht="75" hidden="false" customHeight="true" outlineLevel="0" collapsed="false">
      <c r="A400" s="5" t="s">
        <v>2525</v>
      </c>
      <c r="B400" s="5" t="s">
        <v>504</v>
      </c>
      <c r="C400" s="5" t="s">
        <v>2526</v>
      </c>
      <c r="D400" s="5" t="s">
        <v>749</v>
      </c>
      <c r="E400" s="5" t="s">
        <v>730</v>
      </c>
      <c r="F400" s="5" t="s">
        <v>2527</v>
      </c>
      <c r="G400" s="5" t="s">
        <v>2523</v>
      </c>
      <c r="H400" s="5"/>
      <c r="I400" s="5" t="s">
        <v>745</v>
      </c>
      <c r="J400" s="5" t="s">
        <v>2528</v>
      </c>
    </row>
    <row r="401" customFormat="false" ht="75" hidden="false" customHeight="true" outlineLevel="0" collapsed="false">
      <c r="A401" s="5" t="s">
        <v>2529</v>
      </c>
      <c r="B401" s="5" t="s">
        <v>504</v>
      </c>
      <c r="C401" s="5" t="s">
        <v>2530</v>
      </c>
      <c r="D401" s="5" t="s">
        <v>749</v>
      </c>
      <c r="E401" s="5" t="s">
        <v>782</v>
      </c>
      <c r="F401" s="5" t="s">
        <v>2531</v>
      </c>
      <c r="G401" s="5" t="s">
        <v>2532</v>
      </c>
      <c r="H401" s="5" t="s">
        <v>66</v>
      </c>
      <c r="I401" s="5" t="s">
        <v>753</v>
      </c>
      <c r="J401" s="5" t="s">
        <v>2533</v>
      </c>
    </row>
    <row r="402" customFormat="false" ht="75" hidden="false" customHeight="true" outlineLevel="0" collapsed="false">
      <c r="A402" s="5" t="s">
        <v>2534</v>
      </c>
      <c r="B402" s="5" t="s">
        <v>504</v>
      </c>
      <c r="C402" s="5" t="s">
        <v>2535</v>
      </c>
      <c r="D402" s="5" t="s">
        <v>729</v>
      </c>
      <c r="E402" s="5" t="s">
        <v>782</v>
      </c>
      <c r="F402" s="5" t="s">
        <v>2536</v>
      </c>
      <c r="G402" s="5" t="s">
        <v>2537</v>
      </c>
      <c r="H402" s="5" t="s">
        <v>210</v>
      </c>
      <c r="I402" s="5" t="s">
        <v>745</v>
      </c>
      <c r="J402" s="5" t="s">
        <v>2538</v>
      </c>
    </row>
    <row r="403" customFormat="false" ht="75" hidden="false" customHeight="true" outlineLevel="0" collapsed="false">
      <c r="A403" s="5" t="s">
        <v>2539</v>
      </c>
      <c r="B403" s="5" t="s">
        <v>504</v>
      </c>
      <c r="C403" s="5" t="s">
        <v>2540</v>
      </c>
      <c r="D403" s="5" t="s">
        <v>749</v>
      </c>
      <c r="E403" s="5" t="s">
        <v>782</v>
      </c>
      <c r="F403" s="5" t="s">
        <v>2541</v>
      </c>
      <c r="G403" s="5" t="s">
        <v>2542</v>
      </c>
      <c r="H403" s="5"/>
      <c r="I403" s="5" t="s">
        <v>734</v>
      </c>
      <c r="J403" s="5" t="s">
        <v>2543</v>
      </c>
    </row>
    <row r="404" customFormat="false" ht="75" hidden="false" customHeight="true" outlineLevel="0" collapsed="false">
      <c r="A404" s="5" t="s">
        <v>2544</v>
      </c>
      <c r="B404" s="5" t="s">
        <v>504</v>
      </c>
      <c r="C404" s="5" t="s">
        <v>2545</v>
      </c>
      <c r="D404" s="5" t="s">
        <v>772</v>
      </c>
      <c r="E404" s="5" t="s">
        <v>782</v>
      </c>
      <c r="F404" s="5" t="s">
        <v>2546</v>
      </c>
      <c r="G404" s="5" t="s">
        <v>2547</v>
      </c>
      <c r="H404" s="5"/>
      <c r="I404" s="5" t="s">
        <v>734</v>
      </c>
      <c r="J404" s="5" t="s">
        <v>2548</v>
      </c>
    </row>
    <row r="405" customFormat="false" ht="75" hidden="false" customHeight="true" outlineLevel="0" collapsed="false">
      <c r="A405" s="5" t="s">
        <v>2549</v>
      </c>
      <c r="B405" s="5" t="s">
        <v>504</v>
      </c>
      <c r="C405" s="5" t="s">
        <v>2550</v>
      </c>
      <c r="D405" s="5" t="s">
        <v>749</v>
      </c>
      <c r="E405" s="5" t="s">
        <v>782</v>
      </c>
      <c r="F405" s="5" t="s">
        <v>2551</v>
      </c>
      <c r="G405" s="5" t="s">
        <v>2552</v>
      </c>
      <c r="H405" s="5"/>
      <c r="I405" s="5" t="s">
        <v>785</v>
      </c>
      <c r="J405" s="5" t="s">
        <v>2553</v>
      </c>
    </row>
    <row r="406" customFormat="false" ht="75" hidden="false" customHeight="true" outlineLevel="0" collapsed="false">
      <c r="A406" s="5" t="s">
        <v>2554</v>
      </c>
      <c r="B406" s="5" t="s">
        <v>504</v>
      </c>
      <c r="C406" s="5" t="s">
        <v>2555</v>
      </c>
      <c r="D406" s="5" t="s">
        <v>749</v>
      </c>
      <c r="E406" s="5" t="s">
        <v>782</v>
      </c>
      <c r="F406" s="5" t="s">
        <v>2556</v>
      </c>
      <c r="G406" s="5" t="s">
        <v>2542</v>
      </c>
      <c r="H406" s="5" t="s">
        <v>74</v>
      </c>
      <c r="I406" s="5" t="s">
        <v>753</v>
      </c>
      <c r="J406" s="5" t="s">
        <v>2557</v>
      </c>
    </row>
    <row r="407" customFormat="false" ht="75" hidden="false" customHeight="true" outlineLevel="0" collapsed="false">
      <c r="A407" s="5" t="s">
        <v>2558</v>
      </c>
      <c r="B407" s="5" t="s">
        <v>504</v>
      </c>
      <c r="C407" s="5" t="s">
        <v>2559</v>
      </c>
      <c r="D407" s="5" t="s">
        <v>749</v>
      </c>
      <c r="E407" s="5" t="s">
        <v>762</v>
      </c>
      <c r="F407" s="5" t="s">
        <v>2560</v>
      </c>
      <c r="G407" s="5" t="s">
        <v>2561</v>
      </c>
      <c r="H407" s="5"/>
      <c r="I407" s="5" t="s">
        <v>745</v>
      </c>
      <c r="J407" s="5" t="s">
        <v>765</v>
      </c>
    </row>
    <row r="408" customFormat="false" ht="75" hidden="false" customHeight="true" outlineLevel="0" collapsed="false">
      <c r="A408" s="5" t="s">
        <v>2562</v>
      </c>
      <c r="B408" s="5" t="s">
        <v>504</v>
      </c>
      <c r="C408" s="5" t="s">
        <v>2563</v>
      </c>
      <c r="D408" s="5" t="s">
        <v>729</v>
      </c>
      <c r="E408" s="5" t="s">
        <v>924</v>
      </c>
      <c r="F408" s="5" t="s">
        <v>2564</v>
      </c>
      <c r="G408" s="5" t="s">
        <v>508</v>
      </c>
      <c r="H408" s="5" t="s">
        <v>138</v>
      </c>
      <c r="I408" s="5" t="s">
        <v>753</v>
      </c>
      <c r="J408" s="5" t="s">
        <v>2565</v>
      </c>
    </row>
    <row r="409" customFormat="false" ht="75" hidden="false" customHeight="true" outlineLevel="0" collapsed="false">
      <c r="A409" s="5" t="s">
        <v>2566</v>
      </c>
      <c r="B409" s="5" t="s">
        <v>504</v>
      </c>
      <c r="C409" s="5" t="s">
        <v>2567</v>
      </c>
      <c r="D409" s="5" t="s">
        <v>749</v>
      </c>
      <c r="E409" s="5" t="s">
        <v>750</v>
      </c>
      <c r="F409" s="5" t="s">
        <v>2568</v>
      </c>
      <c r="G409" s="5" t="s">
        <v>508</v>
      </c>
      <c r="H409" s="5" t="s">
        <v>1212</v>
      </c>
      <c r="I409" s="5" t="s">
        <v>745</v>
      </c>
      <c r="J409" s="5" t="s">
        <v>1378</v>
      </c>
    </row>
    <row r="410" customFormat="false" ht="75" hidden="false" customHeight="true" outlineLevel="0" collapsed="false">
      <c r="A410" s="5" t="s">
        <v>2569</v>
      </c>
      <c r="B410" s="5" t="s">
        <v>513</v>
      </c>
      <c r="C410" s="5" t="s">
        <v>2570</v>
      </c>
      <c r="D410" s="5" t="s">
        <v>749</v>
      </c>
      <c r="E410" s="5" t="s">
        <v>789</v>
      </c>
      <c r="F410" s="5" t="s">
        <v>2571</v>
      </c>
      <c r="G410" s="5" t="s">
        <v>2572</v>
      </c>
      <c r="H410" s="5" t="s">
        <v>1583</v>
      </c>
      <c r="I410" s="5" t="s">
        <v>753</v>
      </c>
      <c r="J410" s="5" t="s">
        <v>2573</v>
      </c>
    </row>
    <row r="411" customFormat="false" ht="75" hidden="false" customHeight="true" outlineLevel="0" collapsed="false">
      <c r="A411" s="5" t="s">
        <v>2574</v>
      </c>
      <c r="B411" s="5" t="s">
        <v>513</v>
      </c>
      <c r="C411" s="5" t="s">
        <v>2575</v>
      </c>
      <c r="D411" s="5" t="s">
        <v>749</v>
      </c>
      <c r="E411" s="5" t="s">
        <v>789</v>
      </c>
      <c r="F411" s="5" t="s">
        <v>2576</v>
      </c>
      <c r="G411" s="5" t="s">
        <v>2577</v>
      </c>
      <c r="H411" s="5"/>
      <c r="I411" s="5" t="s">
        <v>753</v>
      </c>
      <c r="J411" s="5" t="s">
        <v>2442</v>
      </c>
    </row>
    <row r="412" customFormat="false" ht="75" hidden="false" customHeight="true" outlineLevel="0" collapsed="false">
      <c r="A412" s="5" t="s">
        <v>2578</v>
      </c>
      <c r="B412" s="5" t="s">
        <v>513</v>
      </c>
      <c r="C412" s="5" t="s">
        <v>2579</v>
      </c>
      <c r="D412" s="5" t="s">
        <v>729</v>
      </c>
      <c r="E412" s="5" t="s">
        <v>789</v>
      </c>
      <c r="F412" s="5" t="s">
        <v>2580</v>
      </c>
      <c r="G412" s="5" t="s">
        <v>2581</v>
      </c>
      <c r="H412" s="5" t="s">
        <v>194</v>
      </c>
      <c r="I412" s="5" t="s">
        <v>753</v>
      </c>
      <c r="J412" s="5" t="s">
        <v>2582</v>
      </c>
    </row>
    <row r="413" customFormat="false" ht="75" hidden="false" customHeight="true" outlineLevel="0" collapsed="false">
      <c r="A413" s="5" t="s">
        <v>2583</v>
      </c>
      <c r="B413" s="5" t="s">
        <v>513</v>
      </c>
      <c r="C413" s="5" t="s">
        <v>2584</v>
      </c>
      <c r="D413" s="5" t="s">
        <v>749</v>
      </c>
      <c r="E413" s="5" t="s">
        <v>762</v>
      </c>
      <c r="F413" s="5" t="s">
        <v>2585</v>
      </c>
      <c r="G413" s="5" t="s">
        <v>2586</v>
      </c>
      <c r="H413" s="5" t="s">
        <v>178</v>
      </c>
      <c r="I413" s="5" t="s">
        <v>745</v>
      </c>
      <c r="J413" s="5" t="s">
        <v>765</v>
      </c>
    </row>
    <row r="414" customFormat="false" ht="75" hidden="false" customHeight="true" outlineLevel="0" collapsed="false">
      <c r="A414" s="5" t="s">
        <v>2587</v>
      </c>
      <c r="B414" s="5" t="s">
        <v>513</v>
      </c>
      <c r="C414" s="5" t="s">
        <v>2588</v>
      </c>
      <c r="D414" s="5" t="s">
        <v>749</v>
      </c>
      <c r="E414" s="5" t="s">
        <v>762</v>
      </c>
      <c r="F414" s="5" t="s">
        <v>2589</v>
      </c>
      <c r="G414" s="5" t="s">
        <v>2590</v>
      </c>
      <c r="H414" s="5" t="s">
        <v>1570</v>
      </c>
      <c r="I414" s="5" t="s">
        <v>745</v>
      </c>
      <c r="J414" s="5" t="s">
        <v>765</v>
      </c>
    </row>
    <row r="415" customFormat="false" ht="75" hidden="false" customHeight="true" outlineLevel="0" collapsed="false">
      <c r="A415" s="5" t="s">
        <v>2591</v>
      </c>
      <c r="B415" s="5" t="s">
        <v>513</v>
      </c>
      <c r="C415" s="5" t="s">
        <v>2592</v>
      </c>
      <c r="D415" s="5" t="s">
        <v>749</v>
      </c>
      <c r="E415" s="5" t="s">
        <v>762</v>
      </c>
      <c r="F415" s="5" t="s">
        <v>2593</v>
      </c>
      <c r="G415" s="5" t="s">
        <v>2586</v>
      </c>
      <c r="H415" s="5"/>
      <c r="I415" s="5" t="s">
        <v>745</v>
      </c>
      <c r="J415" s="5" t="s">
        <v>765</v>
      </c>
    </row>
    <row r="416" customFormat="false" ht="75" hidden="false" customHeight="true" outlineLevel="0" collapsed="false">
      <c r="A416" s="5" t="s">
        <v>2594</v>
      </c>
      <c r="B416" s="5" t="s">
        <v>513</v>
      </c>
      <c r="C416" s="5" t="s">
        <v>2595</v>
      </c>
      <c r="D416" s="5" t="s">
        <v>729</v>
      </c>
      <c r="E416" s="5" t="s">
        <v>730</v>
      </c>
      <c r="F416" s="5" t="s">
        <v>2596</v>
      </c>
      <c r="G416" s="5" t="s">
        <v>2597</v>
      </c>
      <c r="H416" s="5" t="s">
        <v>138</v>
      </c>
      <c r="I416" s="5" t="s">
        <v>753</v>
      </c>
      <c r="J416" s="5" t="s">
        <v>2598</v>
      </c>
    </row>
    <row r="417" customFormat="false" ht="75" hidden="false" customHeight="true" outlineLevel="0" collapsed="false">
      <c r="A417" s="5" t="s">
        <v>2599</v>
      </c>
      <c r="B417" s="5" t="s">
        <v>513</v>
      </c>
      <c r="C417" s="5" t="s">
        <v>2600</v>
      </c>
      <c r="D417" s="5" t="s">
        <v>772</v>
      </c>
      <c r="E417" s="5" t="s">
        <v>888</v>
      </c>
      <c r="F417" s="5" t="s">
        <v>2601</v>
      </c>
      <c r="G417" s="5" t="s">
        <v>516</v>
      </c>
      <c r="H417" s="5" t="s">
        <v>258</v>
      </c>
      <c r="I417" s="5" t="s">
        <v>745</v>
      </c>
      <c r="J417" s="5" t="s">
        <v>2602</v>
      </c>
    </row>
    <row r="418" customFormat="false" ht="75" hidden="false" customHeight="true" outlineLevel="0" collapsed="false">
      <c r="A418" s="5" t="s">
        <v>2603</v>
      </c>
      <c r="B418" s="5" t="s">
        <v>513</v>
      </c>
      <c r="C418" s="5" t="s">
        <v>2604</v>
      </c>
      <c r="D418" s="5" t="s">
        <v>729</v>
      </c>
      <c r="E418" s="5" t="s">
        <v>750</v>
      </c>
      <c r="F418" s="5" t="s">
        <v>2605</v>
      </c>
      <c r="G418" s="5" t="s">
        <v>2606</v>
      </c>
      <c r="H418" s="5"/>
      <c r="I418" s="5" t="s">
        <v>745</v>
      </c>
      <c r="J418" s="5" t="s">
        <v>2607</v>
      </c>
    </row>
    <row r="419" customFormat="false" ht="75" hidden="false" customHeight="true" outlineLevel="0" collapsed="false">
      <c r="A419" s="5" t="s">
        <v>2608</v>
      </c>
      <c r="B419" s="5" t="s">
        <v>521</v>
      </c>
      <c r="C419" s="5" t="s">
        <v>2609</v>
      </c>
      <c r="D419" s="5" t="s">
        <v>749</v>
      </c>
      <c r="E419" s="5" t="s">
        <v>802</v>
      </c>
      <c r="F419" s="5" t="s">
        <v>2610</v>
      </c>
      <c r="G419" s="5" t="s">
        <v>2611</v>
      </c>
      <c r="H419" s="5" t="s">
        <v>138</v>
      </c>
      <c r="I419" s="5" t="s">
        <v>753</v>
      </c>
      <c r="J419" s="5" t="s">
        <v>2612</v>
      </c>
    </row>
    <row r="420" customFormat="false" ht="75" hidden="false" customHeight="true" outlineLevel="0" collapsed="false">
      <c r="A420" s="5" t="s">
        <v>2613</v>
      </c>
      <c r="B420" s="5" t="s">
        <v>521</v>
      </c>
      <c r="C420" s="5" t="s">
        <v>2614</v>
      </c>
      <c r="D420" s="5" t="s">
        <v>749</v>
      </c>
      <c r="E420" s="5" t="s">
        <v>730</v>
      </c>
      <c r="F420" s="5" t="s">
        <v>2615</v>
      </c>
      <c r="G420" s="5" t="s">
        <v>2611</v>
      </c>
      <c r="H420" s="5" t="s">
        <v>138</v>
      </c>
      <c r="I420" s="5" t="s">
        <v>753</v>
      </c>
      <c r="J420" s="5" t="s">
        <v>2616</v>
      </c>
    </row>
    <row r="421" customFormat="false" ht="75" hidden="false" customHeight="true" outlineLevel="0" collapsed="false">
      <c r="A421" s="5" t="s">
        <v>2617</v>
      </c>
      <c r="B421" s="5" t="s">
        <v>521</v>
      </c>
      <c r="C421" s="5" t="s">
        <v>2618</v>
      </c>
      <c r="D421" s="5" t="s">
        <v>749</v>
      </c>
      <c r="E421" s="5" t="s">
        <v>789</v>
      </c>
      <c r="F421" s="5" t="s">
        <v>2619</v>
      </c>
      <c r="G421" s="5" t="s">
        <v>2611</v>
      </c>
      <c r="H421" s="5" t="s">
        <v>1583</v>
      </c>
      <c r="I421" s="5" t="s">
        <v>753</v>
      </c>
      <c r="J421" s="5" t="s">
        <v>2620</v>
      </c>
    </row>
    <row r="422" customFormat="false" ht="75" hidden="false" customHeight="true" outlineLevel="0" collapsed="false">
      <c r="A422" s="5" t="s">
        <v>2621</v>
      </c>
      <c r="B422" s="5" t="s">
        <v>521</v>
      </c>
      <c r="C422" s="5" t="s">
        <v>2622</v>
      </c>
      <c r="D422" s="5" t="s">
        <v>772</v>
      </c>
      <c r="E422" s="5" t="s">
        <v>888</v>
      </c>
      <c r="F422" s="5" t="s">
        <v>2623</v>
      </c>
      <c r="G422" s="5" t="s">
        <v>2624</v>
      </c>
      <c r="H422" s="5" t="s">
        <v>2625</v>
      </c>
      <c r="I422" s="5" t="s">
        <v>745</v>
      </c>
      <c r="J422" s="5" t="s">
        <v>2626</v>
      </c>
    </row>
    <row r="423" customFormat="false" ht="75" hidden="false" customHeight="true" outlineLevel="0" collapsed="false">
      <c r="A423" s="5" t="s">
        <v>2627</v>
      </c>
      <c r="B423" s="5" t="s">
        <v>521</v>
      </c>
      <c r="C423" s="5" t="s">
        <v>2628</v>
      </c>
      <c r="D423" s="5" t="s">
        <v>729</v>
      </c>
      <c r="E423" s="5" t="s">
        <v>730</v>
      </c>
      <c r="F423" s="5" t="s">
        <v>2629</v>
      </c>
      <c r="G423" s="5" t="s">
        <v>2630</v>
      </c>
      <c r="H423" s="5" t="s">
        <v>130</v>
      </c>
      <c r="I423" s="5" t="s">
        <v>745</v>
      </c>
      <c r="J423" s="5" t="s">
        <v>2631</v>
      </c>
    </row>
    <row r="424" customFormat="false" ht="75" hidden="false" customHeight="true" outlineLevel="0" collapsed="false">
      <c r="A424" s="5" t="s">
        <v>2632</v>
      </c>
      <c r="B424" s="5" t="s">
        <v>521</v>
      </c>
      <c r="C424" s="5" t="s">
        <v>2633</v>
      </c>
      <c r="D424" s="5" t="s">
        <v>772</v>
      </c>
      <c r="E424" s="5" t="s">
        <v>730</v>
      </c>
      <c r="F424" s="5" t="s">
        <v>2634</v>
      </c>
      <c r="G424" s="5" t="s">
        <v>2635</v>
      </c>
      <c r="H424" s="5" t="s">
        <v>202</v>
      </c>
      <c r="I424" s="5" t="s">
        <v>745</v>
      </c>
      <c r="J424" s="5" t="s">
        <v>2636</v>
      </c>
    </row>
    <row r="425" customFormat="false" ht="75" hidden="false" customHeight="true" outlineLevel="0" collapsed="false">
      <c r="A425" s="5" t="s">
        <v>2637</v>
      </c>
      <c r="B425" s="5" t="s">
        <v>521</v>
      </c>
      <c r="C425" s="5" t="s">
        <v>2638</v>
      </c>
      <c r="D425" s="5" t="s">
        <v>772</v>
      </c>
      <c r="E425" s="5" t="s">
        <v>782</v>
      </c>
      <c r="F425" s="5" t="s">
        <v>2639</v>
      </c>
      <c r="G425" s="5" t="s">
        <v>2640</v>
      </c>
      <c r="H425" s="5" t="s">
        <v>250</v>
      </c>
      <c r="I425" s="5" t="s">
        <v>734</v>
      </c>
      <c r="J425" s="5" t="s">
        <v>2079</v>
      </c>
    </row>
    <row r="426" customFormat="false" ht="75" hidden="false" customHeight="true" outlineLevel="0" collapsed="false">
      <c r="A426" s="5" t="s">
        <v>2641</v>
      </c>
      <c r="B426" s="5" t="s">
        <v>521</v>
      </c>
      <c r="C426" s="5" t="s">
        <v>2642</v>
      </c>
      <c r="D426" s="5" t="s">
        <v>749</v>
      </c>
      <c r="E426" s="5" t="s">
        <v>782</v>
      </c>
      <c r="F426" s="5" t="s">
        <v>2643</v>
      </c>
      <c r="G426" s="5" t="s">
        <v>2644</v>
      </c>
      <c r="H426" s="5" t="s">
        <v>178</v>
      </c>
      <c r="I426" s="5" t="s">
        <v>745</v>
      </c>
      <c r="J426" s="5" t="s">
        <v>765</v>
      </c>
    </row>
    <row r="427" customFormat="false" ht="75" hidden="false" customHeight="true" outlineLevel="0" collapsed="false">
      <c r="A427" s="5" t="s">
        <v>2645</v>
      </c>
      <c r="B427" s="5" t="s">
        <v>521</v>
      </c>
      <c r="C427" s="5" t="s">
        <v>2646</v>
      </c>
      <c r="D427" s="5" t="s">
        <v>772</v>
      </c>
      <c r="E427" s="5" t="s">
        <v>782</v>
      </c>
      <c r="F427" s="5" t="s">
        <v>2647</v>
      </c>
      <c r="G427" s="5" t="s">
        <v>2644</v>
      </c>
      <c r="H427" s="5"/>
      <c r="I427" s="5" t="s">
        <v>745</v>
      </c>
      <c r="J427" s="5" t="s">
        <v>2648</v>
      </c>
    </row>
    <row r="428" customFormat="false" ht="75" hidden="false" customHeight="true" outlineLevel="0" collapsed="false">
      <c r="A428" s="5" t="s">
        <v>2649</v>
      </c>
      <c r="B428" s="5" t="s">
        <v>521</v>
      </c>
      <c r="C428" s="5" t="s">
        <v>2650</v>
      </c>
      <c r="D428" s="5" t="s">
        <v>772</v>
      </c>
      <c r="E428" s="5" t="s">
        <v>762</v>
      </c>
      <c r="F428" s="5" t="s">
        <v>2651</v>
      </c>
      <c r="G428" s="5" t="s">
        <v>2644</v>
      </c>
      <c r="H428" s="5"/>
      <c r="I428" s="5" t="s">
        <v>745</v>
      </c>
      <c r="J428" s="5" t="s">
        <v>765</v>
      </c>
    </row>
    <row r="429" customFormat="false" ht="75" hidden="false" customHeight="true" outlineLevel="0" collapsed="false">
      <c r="A429" s="5" t="s">
        <v>2652</v>
      </c>
      <c r="B429" s="5" t="s">
        <v>521</v>
      </c>
      <c r="C429" s="5" t="s">
        <v>2653</v>
      </c>
      <c r="D429" s="5" t="s">
        <v>772</v>
      </c>
      <c r="E429" s="5" t="s">
        <v>782</v>
      </c>
      <c r="F429" s="5" t="s">
        <v>2654</v>
      </c>
      <c r="G429" s="5" t="s">
        <v>2655</v>
      </c>
      <c r="H429" s="5"/>
      <c r="I429" s="5" t="s">
        <v>734</v>
      </c>
      <c r="J429" s="5" t="s">
        <v>2656</v>
      </c>
    </row>
    <row r="430" customFormat="false" ht="75" hidden="false" customHeight="true" outlineLevel="0" collapsed="false">
      <c r="A430" s="5" t="s">
        <v>2657</v>
      </c>
      <c r="B430" s="5" t="s">
        <v>521</v>
      </c>
      <c r="C430" s="5" t="s">
        <v>2658</v>
      </c>
      <c r="D430" s="5" t="s">
        <v>772</v>
      </c>
      <c r="E430" s="5" t="s">
        <v>782</v>
      </c>
      <c r="F430" s="5" t="s">
        <v>2659</v>
      </c>
      <c r="G430" s="5" t="s">
        <v>2655</v>
      </c>
      <c r="H430" s="5" t="s">
        <v>32</v>
      </c>
      <c r="I430" s="5" t="s">
        <v>734</v>
      </c>
      <c r="J430" s="5" t="s">
        <v>2660</v>
      </c>
    </row>
    <row r="431" customFormat="false" ht="75" hidden="false" customHeight="true" outlineLevel="0" collapsed="false">
      <c r="A431" s="5" t="s">
        <v>2661</v>
      </c>
      <c r="B431" s="5" t="s">
        <v>521</v>
      </c>
      <c r="C431" s="5" t="s">
        <v>2662</v>
      </c>
      <c r="D431" s="5" t="s">
        <v>729</v>
      </c>
      <c r="E431" s="5" t="s">
        <v>750</v>
      </c>
      <c r="F431" s="5" t="s">
        <v>2663</v>
      </c>
      <c r="G431" s="5" t="s">
        <v>525</v>
      </c>
      <c r="H431" s="5"/>
      <c r="I431" s="5" t="s">
        <v>745</v>
      </c>
      <c r="J431" s="5" t="s">
        <v>2664</v>
      </c>
    </row>
    <row r="432" customFormat="false" ht="75" hidden="false" customHeight="true" outlineLevel="0" collapsed="false">
      <c r="A432" s="5" t="s">
        <v>2665</v>
      </c>
      <c r="B432" s="5" t="s">
        <v>530</v>
      </c>
      <c r="C432" s="5" t="s">
        <v>2666</v>
      </c>
      <c r="D432" s="5" t="s">
        <v>729</v>
      </c>
      <c r="E432" s="5" t="s">
        <v>730</v>
      </c>
      <c r="F432" s="5" t="s">
        <v>2667</v>
      </c>
      <c r="G432" s="5" t="s">
        <v>2668</v>
      </c>
      <c r="H432" s="5" t="s">
        <v>2669</v>
      </c>
      <c r="I432" s="5" t="s">
        <v>745</v>
      </c>
      <c r="J432" s="5" t="s">
        <v>2670</v>
      </c>
    </row>
    <row r="433" customFormat="false" ht="75" hidden="false" customHeight="true" outlineLevel="0" collapsed="false">
      <c r="A433" s="5" t="s">
        <v>2671</v>
      </c>
      <c r="B433" s="5" t="s">
        <v>530</v>
      </c>
      <c r="C433" s="5" t="s">
        <v>2672</v>
      </c>
      <c r="D433" s="5" t="s">
        <v>749</v>
      </c>
      <c r="E433" s="5" t="s">
        <v>782</v>
      </c>
      <c r="F433" s="5" t="s">
        <v>2673</v>
      </c>
      <c r="G433" s="5" t="s">
        <v>2674</v>
      </c>
      <c r="H433" s="5" t="s">
        <v>23</v>
      </c>
      <c r="I433" s="5" t="s">
        <v>734</v>
      </c>
      <c r="J433" s="5" t="s">
        <v>2675</v>
      </c>
    </row>
    <row r="434" customFormat="false" ht="75" hidden="false" customHeight="true" outlineLevel="0" collapsed="false">
      <c r="A434" s="5" t="s">
        <v>2676</v>
      </c>
      <c r="B434" s="5" t="s">
        <v>530</v>
      </c>
      <c r="C434" s="5" t="s">
        <v>2677</v>
      </c>
      <c r="D434" s="5" t="s">
        <v>749</v>
      </c>
      <c r="E434" s="5" t="s">
        <v>762</v>
      </c>
      <c r="F434" s="5" t="s">
        <v>2678</v>
      </c>
      <c r="G434" s="5" t="s">
        <v>2679</v>
      </c>
      <c r="H434" s="5" t="s">
        <v>178</v>
      </c>
      <c r="I434" s="5" t="s">
        <v>745</v>
      </c>
      <c r="J434" s="5" t="s">
        <v>765</v>
      </c>
    </row>
    <row r="435" customFormat="false" ht="75" hidden="false" customHeight="true" outlineLevel="0" collapsed="false">
      <c r="A435" s="5" t="s">
        <v>2680</v>
      </c>
      <c r="B435" s="5" t="s">
        <v>530</v>
      </c>
      <c r="C435" s="5" t="s">
        <v>2681</v>
      </c>
      <c r="D435" s="5" t="s">
        <v>749</v>
      </c>
      <c r="E435" s="5" t="s">
        <v>782</v>
      </c>
      <c r="F435" s="5" t="s">
        <v>2682</v>
      </c>
      <c r="G435" s="5" t="s">
        <v>2683</v>
      </c>
      <c r="H435" s="5" t="s">
        <v>74</v>
      </c>
      <c r="I435" s="5" t="s">
        <v>753</v>
      </c>
      <c r="J435" s="5" t="s">
        <v>2684</v>
      </c>
    </row>
    <row r="436" customFormat="false" ht="75" hidden="false" customHeight="true" outlineLevel="0" collapsed="false">
      <c r="A436" s="5" t="s">
        <v>2685</v>
      </c>
      <c r="B436" s="5" t="s">
        <v>530</v>
      </c>
      <c r="C436" s="5" t="s">
        <v>2686</v>
      </c>
      <c r="D436" s="5" t="s">
        <v>729</v>
      </c>
      <c r="E436" s="5" t="s">
        <v>762</v>
      </c>
      <c r="F436" s="5" t="s">
        <v>2687</v>
      </c>
      <c r="G436" s="5" t="s">
        <v>2688</v>
      </c>
      <c r="H436" s="5"/>
      <c r="I436" s="5" t="s">
        <v>734</v>
      </c>
      <c r="J436" s="5" t="s">
        <v>2689</v>
      </c>
    </row>
    <row r="437" customFormat="false" ht="75" hidden="false" customHeight="true" outlineLevel="0" collapsed="false">
      <c r="A437" s="5" t="s">
        <v>2690</v>
      </c>
      <c r="B437" s="5" t="s">
        <v>530</v>
      </c>
      <c r="C437" s="5" t="s">
        <v>2691</v>
      </c>
      <c r="D437" s="5" t="s">
        <v>749</v>
      </c>
      <c r="E437" s="5" t="s">
        <v>782</v>
      </c>
      <c r="F437" s="5" t="s">
        <v>2692</v>
      </c>
      <c r="G437" s="5" t="s">
        <v>2693</v>
      </c>
      <c r="H437" s="5" t="s">
        <v>66</v>
      </c>
      <c r="I437" s="5" t="s">
        <v>753</v>
      </c>
      <c r="J437" s="5" t="s">
        <v>2694</v>
      </c>
    </row>
    <row r="438" customFormat="false" ht="75" hidden="false" customHeight="true" outlineLevel="0" collapsed="false">
      <c r="A438" s="5" t="s">
        <v>2695</v>
      </c>
      <c r="B438" s="5" t="s">
        <v>530</v>
      </c>
      <c r="C438" s="5" t="s">
        <v>2696</v>
      </c>
      <c r="D438" s="5" t="s">
        <v>749</v>
      </c>
      <c r="E438" s="5" t="s">
        <v>782</v>
      </c>
      <c r="F438" s="5" t="s">
        <v>2697</v>
      </c>
      <c r="G438" s="5" t="s">
        <v>2698</v>
      </c>
      <c r="H438" s="5" t="s">
        <v>66</v>
      </c>
      <c r="I438" s="5" t="s">
        <v>785</v>
      </c>
      <c r="J438" s="5" t="s">
        <v>2699</v>
      </c>
    </row>
    <row r="439" customFormat="false" ht="75" hidden="false" customHeight="true" outlineLevel="0" collapsed="false">
      <c r="A439" s="5" t="s">
        <v>2700</v>
      </c>
      <c r="B439" s="5" t="s">
        <v>530</v>
      </c>
      <c r="C439" s="5" t="s">
        <v>2701</v>
      </c>
      <c r="D439" s="5" t="s">
        <v>749</v>
      </c>
      <c r="E439" s="5" t="s">
        <v>802</v>
      </c>
      <c r="F439" s="5" t="s">
        <v>2702</v>
      </c>
      <c r="G439" s="5" t="s">
        <v>2703</v>
      </c>
      <c r="H439" s="5" t="s">
        <v>194</v>
      </c>
      <c r="I439" s="5" t="s">
        <v>753</v>
      </c>
      <c r="J439" s="5" t="s">
        <v>2704</v>
      </c>
    </row>
    <row r="440" customFormat="false" ht="75" hidden="false" customHeight="true" outlineLevel="0" collapsed="false">
      <c r="A440" s="5" t="s">
        <v>2705</v>
      </c>
      <c r="B440" s="5" t="s">
        <v>530</v>
      </c>
      <c r="C440" s="5" t="s">
        <v>2706</v>
      </c>
      <c r="D440" s="5" t="s">
        <v>772</v>
      </c>
      <c r="E440" s="5" t="s">
        <v>789</v>
      </c>
      <c r="F440" s="5" t="s">
        <v>2707</v>
      </c>
      <c r="G440" s="5" t="s">
        <v>2708</v>
      </c>
      <c r="H440" s="5"/>
      <c r="I440" s="5" t="s">
        <v>753</v>
      </c>
      <c r="J440" s="5" t="s">
        <v>2709</v>
      </c>
    </row>
    <row r="441" customFormat="false" ht="75" hidden="false" customHeight="true" outlineLevel="0" collapsed="false">
      <c r="A441" s="5" t="s">
        <v>2710</v>
      </c>
      <c r="B441" s="5" t="s">
        <v>530</v>
      </c>
      <c r="C441" s="5" t="s">
        <v>2711</v>
      </c>
      <c r="D441" s="5" t="s">
        <v>772</v>
      </c>
      <c r="E441" s="5" t="s">
        <v>789</v>
      </c>
      <c r="F441" s="5" t="s">
        <v>2712</v>
      </c>
      <c r="G441" s="5" t="s">
        <v>2713</v>
      </c>
      <c r="H441" s="5"/>
      <c r="I441" s="5" t="s">
        <v>734</v>
      </c>
      <c r="J441" s="5" t="s">
        <v>2714</v>
      </c>
    </row>
    <row r="442" customFormat="false" ht="75" hidden="false" customHeight="true" outlineLevel="0" collapsed="false">
      <c r="A442" s="5" t="s">
        <v>2715</v>
      </c>
      <c r="B442" s="5" t="s">
        <v>530</v>
      </c>
      <c r="C442" s="5" t="s">
        <v>2716</v>
      </c>
      <c r="D442" s="5" t="s">
        <v>772</v>
      </c>
      <c r="E442" s="5" t="s">
        <v>762</v>
      </c>
      <c r="F442" s="5" t="s">
        <v>2717</v>
      </c>
      <c r="G442" s="5" t="s">
        <v>2718</v>
      </c>
      <c r="H442" s="5"/>
      <c r="I442" s="5" t="s">
        <v>734</v>
      </c>
      <c r="J442" s="5" t="s">
        <v>2719</v>
      </c>
    </row>
    <row r="443" customFormat="false" ht="75" hidden="false" customHeight="true" outlineLevel="0" collapsed="false">
      <c r="A443" s="5" t="s">
        <v>2720</v>
      </c>
      <c r="B443" s="5" t="s">
        <v>530</v>
      </c>
      <c r="C443" s="5" t="s">
        <v>2721</v>
      </c>
      <c r="D443" s="5" t="s">
        <v>749</v>
      </c>
      <c r="E443" s="5" t="s">
        <v>782</v>
      </c>
      <c r="F443" s="5" t="s">
        <v>2722</v>
      </c>
      <c r="G443" s="5" t="s">
        <v>2723</v>
      </c>
      <c r="H443" s="5"/>
      <c r="I443" s="5" t="s">
        <v>745</v>
      </c>
      <c r="J443" s="5" t="s">
        <v>2724</v>
      </c>
    </row>
    <row r="444" customFormat="false" ht="75" hidden="false" customHeight="true" outlineLevel="0" collapsed="false">
      <c r="A444" s="5" t="s">
        <v>2725</v>
      </c>
      <c r="B444" s="5" t="s">
        <v>530</v>
      </c>
      <c r="C444" s="5" t="s">
        <v>2726</v>
      </c>
      <c r="D444" s="5" t="s">
        <v>772</v>
      </c>
      <c r="E444" s="5" t="s">
        <v>888</v>
      </c>
      <c r="F444" s="5" t="s">
        <v>2727</v>
      </c>
      <c r="G444" s="5" t="s">
        <v>2728</v>
      </c>
      <c r="H444" s="5"/>
      <c r="I444" s="5" t="s">
        <v>745</v>
      </c>
      <c r="J444" s="5" t="s">
        <v>2729</v>
      </c>
    </row>
    <row r="445" customFormat="false" ht="75" hidden="false" customHeight="true" outlineLevel="0" collapsed="false">
      <c r="A445" s="5" t="s">
        <v>2730</v>
      </c>
      <c r="B445" s="5" t="s">
        <v>530</v>
      </c>
      <c r="C445" s="5" t="s">
        <v>2731</v>
      </c>
      <c r="D445" s="5" t="s">
        <v>749</v>
      </c>
      <c r="E445" s="5" t="s">
        <v>730</v>
      </c>
      <c r="F445" s="5" t="s">
        <v>2732</v>
      </c>
      <c r="G445" s="5" t="s">
        <v>2733</v>
      </c>
      <c r="H445" s="5" t="s">
        <v>98</v>
      </c>
      <c r="I445" s="5" t="s">
        <v>745</v>
      </c>
      <c r="J445" s="5" t="s">
        <v>2734</v>
      </c>
    </row>
    <row r="446" customFormat="false" ht="75" hidden="false" customHeight="true" outlineLevel="0" collapsed="false">
      <c r="A446" s="5" t="s">
        <v>2735</v>
      </c>
      <c r="B446" s="5" t="s">
        <v>530</v>
      </c>
      <c r="C446" s="5" t="s">
        <v>2736</v>
      </c>
      <c r="D446" s="5" t="s">
        <v>749</v>
      </c>
      <c r="E446" s="5" t="s">
        <v>750</v>
      </c>
      <c r="F446" s="5" t="s">
        <v>2737</v>
      </c>
      <c r="G446" s="5" t="s">
        <v>533</v>
      </c>
      <c r="H446" s="5"/>
      <c r="I446" s="5" t="s">
        <v>745</v>
      </c>
      <c r="J446" s="5" t="s">
        <v>1378</v>
      </c>
    </row>
    <row r="447" customFormat="false" ht="75" hidden="false" customHeight="true" outlineLevel="0" collapsed="false">
      <c r="A447" s="5" t="s">
        <v>2738</v>
      </c>
      <c r="B447" s="5" t="s">
        <v>530</v>
      </c>
      <c r="C447" s="5" t="s">
        <v>2739</v>
      </c>
      <c r="D447" s="5" t="s">
        <v>729</v>
      </c>
      <c r="E447" s="5" t="s">
        <v>750</v>
      </c>
      <c r="F447" s="5" t="s">
        <v>2740</v>
      </c>
      <c r="G447" s="5" t="s">
        <v>2741</v>
      </c>
      <c r="H447" s="5"/>
      <c r="I447" s="5" t="s">
        <v>745</v>
      </c>
      <c r="J447" s="5" t="s">
        <v>2742</v>
      </c>
    </row>
    <row r="448" customFormat="false" ht="75" hidden="false" customHeight="true" outlineLevel="0" collapsed="false">
      <c r="A448" s="5" t="s">
        <v>2743</v>
      </c>
      <c r="B448" s="5" t="s">
        <v>530</v>
      </c>
      <c r="C448" s="5" t="s">
        <v>2744</v>
      </c>
      <c r="D448" s="5" t="s">
        <v>772</v>
      </c>
      <c r="E448" s="5" t="s">
        <v>924</v>
      </c>
      <c r="F448" s="5" t="s">
        <v>2745</v>
      </c>
      <c r="G448" s="5" t="s">
        <v>2746</v>
      </c>
      <c r="H448" s="5"/>
      <c r="I448" s="5" t="s">
        <v>745</v>
      </c>
      <c r="J448" s="5" t="s">
        <v>2747</v>
      </c>
    </row>
    <row r="449" customFormat="false" ht="75" hidden="false" customHeight="true" outlineLevel="0" collapsed="false">
      <c r="A449" s="5" t="s">
        <v>2748</v>
      </c>
      <c r="B449" s="5" t="s">
        <v>530</v>
      </c>
      <c r="C449" s="5" t="s">
        <v>2749</v>
      </c>
      <c r="D449" s="5" t="s">
        <v>729</v>
      </c>
      <c r="E449" s="5" t="s">
        <v>730</v>
      </c>
      <c r="F449" s="5" t="s">
        <v>2750</v>
      </c>
      <c r="G449" s="5" t="s">
        <v>2751</v>
      </c>
      <c r="H449" s="5" t="s">
        <v>138</v>
      </c>
      <c r="I449" s="5" t="s">
        <v>753</v>
      </c>
      <c r="J449" s="5" t="s">
        <v>2598</v>
      </c>
    </row>
    <row r="450" customFormat="false" ht="75" hidden="false" customHeight="true" outlineLevel="0" collapsed="false">
      <c r="A450" s="5" t="s">
        <v>2752</v>
      </c>
      <c r="B450" s="5" t="s">
        <v>538</v>
      </c>
      <c r="C450" s="5" t="s">
        <v>2753</v>
      </c>
      <c r="D450" s="5" t="s">
        <v>749</v>
      </c>
      <c r="E450" s="5" t="s">
        <v>730</v>
      </c>
      <c r="F450" s="5" t="s">
        <v>2754</v>
      </c>
      <c r="G450" s="5" t="s">
        <v>2755</v>
      </c>
      <c r="H450" s="5"/>
      <c r="I450" s="5" t="s">
        <v>734</v>
      </c>
      <c r="J450" s="5" t="s">
        <v>973</v>
      </c>
    </row>
    <row r="451" customFormat="false" ht="75" hidden="false" customHeight="true" outlineLevel="0" collapsed="false">
      <c r="A451" s="5" t="s">
        <v>2756</v>
      </c>
      <c r="B451" s="5" t="s">
        <v>538</v>
      </c>
      <c r="C451" s="5" t="s">
        <v>2757</v>
      </c>
      <c r="D451" s="5" t="s">
        <v>729</v>
      </c>
      <c r="E451" s="5" t="s">
        <v>730</v>
      </c>
      <c r="F451" s="5" t="s">
        <v>2758</v>
      </c>
      <c r="G451" s="5" t="s">
        <v>2759</v>
      </c>
      <c r="H451" s="5"/>
      <c r="I451" s="5" t="s">
        <v>745</v>
      </c>
      <c r="J451" s="5" t="s">
        <v>2760</v>
      </c>
    </row>
    <row r="452" customFormat="false" ht="75" hidden="false" customHeight="true" outlineLevel="0" collapsed="false">
      <c r="A452" s="5" t="s">
        <v>2761</v>
      </c>
      <c r="B452" s="5" t="s">
        <v>538</v>
      </c>
      <c r="C452" s="5" t="s">
        <v>2762</v>
      </c>
      <c r="D452" s="5" t="s">
        <v>729</v>
      </c>
      <c r="E452" s="5" t="s">
        <v>730</v>
      </c>
      <c r="F452" s="5" t="s">
        <v>2763</v>
      </c>
      <c r="G452" s="5" t="s">
        <v>2764</v>
      </c>
      <c r="H452" s="5" t="s">
        <v>130</v>
      </c>
      <c r="I452" s="5" t="s">
        <v>745</v>
      </c>
      <c r="J452" s="5" t="s">
        <v>2765</v>
      </c>
    </row>
    <row r="453" customFormat="false" ht="75" hidden="false" customHeight="true" outlineLevel="0" collapsed="false">
      <c r="A453" s="5" t="s">
        <v>2766</v>
      </c>
      <c r="B453" s="5" t="s">
        <v>538</v>
      </c>
      <c r="C453" s="5" t="s">
        <v>2767</v>
      </c>
      <c r="D453" s="5" t="s">
        <v>749</v>
      </c>
      <c r="E453" s="5" t="s">
        <v>730</v>
      </c>
      <c r="F453" s="5" t="s">
        <v>2768</v>
      </c>
      <c r="G453" s="5" t="s">
        <v>2769</v>
      </c>
      <c r="H453" s="5"/>
      <c r="I453" s="5" t="s">
        <v>745</v>
      </c>
      <c r="J453" s="5" t="s">
        <v>2770</v>
      </c>
    </row>
    <row r="454" customFormat="false" ht="75" hidden="false" customHeight="true" outlineLevel="0" collapsed="false">
      <c r="A454" s="5" t="s">
        <v>2771</v>
      </c>
      <c r="B454" s="5" t="s">
        <v>538</v>
      </c>
      <c r="C454" s="5" t="s">
        <v>2772</v>
      </c>
      <c r="D454" s="5" t="s">
        <v>749</v>
      </c>
      <c r="E454" s="5" t="s">
        <v>888</v>
      </c>
      <c r="F454" s="5" t="s">
        <v>2773</v>
      </c>
      <c r="G454" s="5" t="s">
        <v>2769</v>
      </c>
      <c r="H454" s="5" t="s">
        <v>114</v>
      </c>
      <c r="I454" s="5" t="s">
        <v>745</v>
      </c>
      <c r="J454" s="5" t="s">
        <v>2774</v>
      </c>
    </row>
    <row r="455" customFormat="false" ht="75" hidden="false" customHeight="true" outlineLevel="0" collapsed="false">
      <c r="A455" s="5" t="s">
        <v>2775</v>
      </c>
      <c r="B455" s="5" t="s">
        <v>538</v>
      </c>
      <c r="C455" s="5" t="s">
        <v>2776</v>
      </c>
      <c r="D455" s="5" t="s">
        <v>772</v>
      </c>
      <c r="E455" s="5" t="s">
        <v>888</v>
      </c>
      <c r="F455" s="5" t="s">
        <v>2777</v>
      </c>
      <c r="G455" s="5" t="s">
        <v>2778</v>
      </c>
      <c r="H455" s="5" t="s">
        <v>98</v>
      </c>
      <c r="I455" s="5" t="s">
        <v>745</v>
      </c>
      <c r="J455" s="5" t="s">
        <v>2779</v>
      </c>
    </row>
    <row r="456" customFormat="false" ht="75" hidden="false" customHeight="true" outlineLevel="0" collapsed="false">
      <c r="A456" s="5" t="s">
        <v>2780</v>
      </c>
      <c r="B456" s="5" t="s">
        <v>538</v>
      </c>
      <c r="C456" s="5" t="s">
        <v>844</v>
      </c>
      <c r="D456" s="5" t="s">
        <v>772</v>
      </c>
      <c r="E456" s="5" t="s">
        <v>782</v>
      </c>
      <c r="F456" s="5" t="s">
        <v>2781</v>
      </c>
      <c r="G456" s="5" t="s">
        <v>2782</v>
      </c>
      <c r="H456" s="5"/>
      <c r="I456" s="5" t="s">
        <v>734</v>
      </c>
      <c r="J456" s="5" t="s">
        <v>2783</v>
      </c>
    </row>
    <row r="457" customFormat="false" ht="75" hidden="false" customHeight="true" outlineLevel="0" collapsed="false">
      <c r="A457" s="5" t="s">
        <v>2784</v>
      </c>
      <c r="B457" s="5" t="s">
        <v>538</v>
      </c>
      <c r="C457" s="5" t="s">
        <v>2785</v>
      </c>
      <c r="D457" s="5" t="s">
        <v>749</v>
      </c>
      <c r="E457" s="5" t="s">
        <v>782</v>
      </c>
      <c r="F457" s="5" t="s">
        <v>2786</v>
      </c>
      <c r="G457" s="5" t="s">
        <v>2787</v>
      </c>
      <c r="H457" s="5" t="s">
        <v>2788</v>
      </c>
      <c r="I457" s="5" t="s">
        <v>734</v>
      </c>
      <c r="J457" s="5" t="s">
        <v>2789</v>
      </c>
    </row>
    <row r="458" customFormat="false" ht="75" hidden="false" customHeight="true" outlineLevel="0" collapsed="false">
      <c r="A458" s="5" t="s">
        <v>2790</v>
      </c>
      <c r="B458" s="5" t="s">
        <v>538</v>
      </c>
      <c r="C458" s="5" t="s">
        <v>2791</v>
      </c>
      <c r="D458" s="5" t="s">
        <v>772</v>
      </c>
      <c r="E458" s="5" t="s">
        <v>782</v>
      </c>
      <c r="F458" s="5" t="s">
        <v>2792</v>
      </c>
      <c r="G458" s="5" t="s">
        <v>2793</v>
      </c>
      <c r="H458" s="5"/>
      <c r="I458" s="5" t="s">
        <v>734</v>
      </c>
      <c r="J458" s="5" t="s">
        <v>2794</v>
      </c>
    </row>
    <row r="459" customFormat="false" ht="75" hidden="false" customHeight="true" outlineLevel="0" collapsed="false">
      <c r="A459" s="5" t="s">
        <v>2795</v>
      </c>
      <c r="B459" s="5" t="s">
        <v>538</v>
      </c>
      <c r="C459" s="5" t="s">
        <v>2796</v>
      </c>
      <c r="D459" s="5" t="s">
        <v>772</v>
      </c>
      <c r="E459" s="5" t="s">
        <v>789</v>
      </c>
      <c r="F459" s="5" t="s">
        <v>2797</v>
      </c>
      <c r="G459" s="5" t="s">
        <v>2798</v>
      </c>
      <c r="H459" s="5"/>
      <c r="I459" s="5" t="s">
        <v>753</v>
      </c>
      <c r="J459" s="5" t="s">
        <v>2799</v>
      </c>
    </row>
    <row r="460" customFormat="false" ht="75" hidden="false" customHeight="true" outlineLevel="0" collapsed="false">
      <c r="A460" s="5" t="s">
        <v>2800</v>
      </c>
      <c r="B460" s="5" t="s">
        <v>538</v>
      </c>
      <c r="C460" s="5" t="s">
        <v>2801</v>
      </c>
      <c r="D460" s="5" t="s">
        <v>749</v>
      </c>
      <c r="E460" s="5" t="s">
        <v>762</v>
      </c>
      <c r="F460" s="5" t="s">
        <v>2802</v>
      </c>
      <c r="G460" s="5" t="s">
        <v>2803</v>
      </c>
      <c r="H460" s="5" t="s">
        <v>178</v>
      </c>
      <c r="I460" s="5" t="s">
        <v>745</v>
      </c>
      <c r="J460" s="5" t="s">
        <v>765</v>
      </c>
    </row>
    <row r="461" customFormat="false" ht="75" hidden="false" customHeight="true" outlineLevel="0" collapsed="false">
      <c r="A461" s="5" t="s">
        <v>2804</v>
      </c>
      <c r="B461" s="5" t="s">
        <v>538</v>
      </c>
      <c r="C461" s="5" t="s">
        <v>2805</v>
      </c>
      <c r="D461" s="5" t="s">
        <v>729</v>
      </c>
      <c r="E461" s="5" t="s">
        <v>762</v>
      </c>
      <c r="F461" s="5" t="s">
        <v>2806</v>
      </c>
      <c r="G461" s="5" t="s">
        <v>2807</v>
      </c>
      <c r="H461" s="5" t="s">
        <v>2808</v>
      </c>
      <c r="I461" s="5" t="s">
        <v>734</v>
      </c>
      <c r="J461" s="5" t="s">
        <v>2809</v>
      </c>
    </row>
    <row r="462" customFormat="false" ht="75" hidden="false" customHeight="true" outlineLevel="0" collapsed="false">
      <c r="A462" s="5" t="s">
        <v>2810</v>
      </c>
      <c r="B462" s="5" t="s">
        <v>538</v>
      </c>
      <c r="C462" s="5" t="s">
        <v>2811</v>
      </c>
      <c r="D462" s="5" t="s">
        <v>749</v>
      </c>
      <c r="E462" s="5" t="s">
        <v>762</v>
      </c>
      <c r="F462" s="5" t="s">
        <v>2812</v>
      </c>
      <c r="G462" s="5" t="s">
        <v>2813</v>
      </c>
      <c r="H462" s="5" t="s">
        <v>49</v>
      </c>
      <c r="I462" s="5" t="s">
        <v>734</v>
      </c>
      <c r="J462" s="5" t="s">
        <v>2814</v>
      </c>
    </row>
    <row r="463" customFormat="false" ht="75" hidden="false" customHeight="true" outlineLevel="0" collapsed="false">
      <c r="A463" s="5" t="s">
        <v>2815</v>
      </c>
      <c r="B463" s="5" t="s">
        <v>538</v>
      </c>
      <c r="C463" s="5" t="s">
        <v>2816</v>
      </c>
      <c r="D463" s="5" t="s">
        <v>729</v>
      </c>
      <c r="E463" s="5" t="s">
        <v>924</v>
      </c>
      <c r="F463" s="5" t="s">
        <v>2817</v>
      </c>
      <c r="G463" s="5" t="s">
        <v>2818</v>
      </c>
      <c r="H463" s="5" t="s">
        <v>138</v>
      </c>
      <c r="I463" s="5" t="s">
        <v>753</v>
      </c>
      <c r="J463" s="5" t="s">
        <v>2819</v>
      </c>
    </row>
    <row r="464" customFormat="false" ht="75" hidden="false" customHeight="true" outlineLevel="0" collapsed="false">
      <c r="A464" s="5" t="s">
        <v>2820</v>
      </c>
      <c r="B464" s="5" t="s">
        <v>538</v>
      </c>
      <c r="C464" s="5" t="s">
        <v>2821</v>
      </c>
      <c r="D464" s="5" t="s">
        <v>749</v>
      </c>
      <c r="E464" s="5" t="s">
        <v>750</v>
      </c>
      <c r="F464" s="5" t="s">
        <v>2822</v>
      </c>
      <c r="G464" s="5" t="s">
        <v>2823</v>
      </c>
      <c r="H464" s="5" t="s">
        <v>154</v>
      </c>
      <c r="I464" s="5" t="s">
        <v>745</v>
      </c>
      <c r="J464" s="5" t="s">
        <v>2824</v>
      </c>
    </row>
    <row r="465" customFormat="false" ht="75" hidden="false" customHeight="true" outlineLevel="0" collapsed="false">
      <c r="A465" s="5" t="s">
        <v>2825</v>
      </c>
      <c r="B465" s="5" t="s">
        <v>547</v>
      </c>
      <c r="C465" s="5" t="s">
        <v>2826</v>
      </c>
      <c r="D465" s="5" t="s">
        <v>729</v>
      </c>
      <c r="E465" s="5" t="s">
        <v>782</v>
      </c>
      <c r="F465" s="5" t="s">
        <v>2827</v>
      </c>
      <c r="G465" s="5" t="s">
        <v>2828</v>
      </c>
      <c r="H465" s="5" t="s">
        <v>210</v>
      </c>
      <c r="I465" s="5" t="s">
        <v>753</v>
      </c>
      <c r="J465" s="5" t="s">
        <v>2829</v>
      </c>
    </row>
    <row r="466" customFormat="false" ht="75" hidden="false" customHeight="true" outlineLevel="0" collapsed="false">
      <c r="A466" s="5" t="s">
        <v>2830</v>
      </c>
      <c r="B466" s="5" t="s">
        <v>547</v>
      </c>
      <c r="C466" s="5" t="s">
        <v>2831</v>
      </c>
      <c r="D466" s="5" t="s">
        <v>749</v>
      </c>
      <c r="E466" s="5" t="s">
        <v>730</v>
      </c>
      <c r="F466" s="5" t="s">
        <v>2832</v>
      </c>
      <c r="G466" s="5" t="s">
        <v>2833</v>
      </c>
      <c r="H466" s="5" t="s">
        <v>2834</v>
      </c>
      <c r="I466" s="5" t="s">
        <v>734</v>
      </c>
      <c r="J466" s="5" t="s">
        <v>2835</v>
      </c>
    </row>
    <row r="467" customFormat="false" ht="75" hidden="false" customHeight="true" outlineLevel="0" collapsed="false">
      <c r="A467" s="5" t="s">
        <v>2836</v>
      </c>
      <c r="B467" s="5" t="s">
        <v>547</v>
      </c>
      <c r="C467" s="5" t="s">
        <v>2837</v>
      </c>
      <c r="D467" s="5" t="s">
        <v>749</v>
      </c>
      <c r="E467" s="5" t="s">
        <v>782</v>
      </c>
      <c r="F467" s="5" t="s">
        <v>2838</v>
      </c>
      <c r="G467" s="5" t="s">
        <v>2839</v>
      </c>
      <c r="H467" s="5" t="s">
        <v>2840</v>
      </c>
      <c r="I467" s="5" t="s">
        <v>734</v>
      </c>
      <c r="J467" s="5" t="s">
        <v>2841</v>
      </c>
    </row>
    <row r="468" customFormat="false" ht="75" hidden="false" customHeight="true" outlineLevel="0" collapsed="false">
      <c r="A468" s="5" t="s">
        <v>2842</v>
      </c>
      <c r="B468" s="5" t="s">
        <v>547</v>
      </c>
      <c r="C468" s="5" t="s">
        <v>2843</v>
      </c>
      <c r="D468" s="5" t="s">
        <v>772</v>
      </c>
      <c r="E468" s="5" t="s">
        <v>782</v>
      </c>
      <c r="F468" s="5" t="s">
        <v>2844</v>
      </c>
      <c r="G468" s="5" t="s">
        <v>2845</v>
      </c>
      <c r="H468" s="5" t="s">
        <v>210</v>
      </c>
      <c r="I468" s="5" t="s">
        <v>734</v>
      </c>
      <c r="J468" s="5" t="s">
        <v>2846</v>
      </c>
    </row>
    <row r="469" customFormat="false" ht="75" hidden="false" customHeight="true" outlineLevel="0" collapsed="false">
      <c r="A469" s="5" t="s">
        <v>2847</v>
      </c>
      <c r="B469" s="5" t="s">
        <v>547</v>
      </c>
      <c r="C469" s="5" t="s">
        <v>2848</v>
      </c>
      <c r="D469" s="5" t="s">
        <v>772</v>
      </c>
      <c r="E469" s="5" t="s">
        <v>782</v>
      </c>
      <c r="F469" s="5" t="s">
        <v>2849</v>
      </c>
      <c r="G469" s="5" t="s">
        <v>2845</v>
      </c>
      <c r="H469" s="5" t="s">
        <v>49</v>
      </c>
      <c r="I469" s="5" t="s">
        <v>734</v>
      </c>
      <c r="J469" s="5" t="s">
        <v>2850</v>
      </c>
    </row>
    <row r="470" customFormat="false" ht="75" hidden="false" customHeight="true" outlineLevel="0" collapsed="false">
      <c r="A470" s="5" t="s">
        <v>2851</v>
      </c>
      <c r="B470" s="5" t="s">
        <v>547</v>
      </c>
      <c r="C470" s="5" t="s">
        <v>2852</v>
      </c>
      <c r="D470" s="5" t="s">
        <v>772</v>
      </c>
      <c r="E470" s="5" t="s">
        <v>782</v>
      </c>
      <c r="F470" s="5" t="s">
        <v>2853</v>
      </c>
      <c r="G470" s="5" t="s">
        <v>2845</v>
      </c>
      <c r="H470" s="5"/>
      <c r="I470" s="5" t="s">
        <v>734</v>
      </c>
      <c r="J470" s="5" t="s">
        <v>2079</v>
      </c>
    </row>
    <row r="471" customFormat="false" ht="75" hidden="false" customHeight="true" outlineLevel="0" collapsed="false">
      <c r="A471" s="5" t="s">
        <v>2854</v>
      </c>
      <c r="B471" s="5" t="s">
        <v>547</v>
      </c>
      <c r="C471" s="5" t="s">
        <v>2855</v>
      </c>
      <c r="D471" s="5" t="s">
        <v>749</v>
      </c>
      <c r="E471" s="5" t="s">
        <v>782</v>
      </c>
      <c r="F471" s="5" t="s">
        <v>2856</v>
      </c>
      <c r="G471" s="5" t="s">
        <v>2857</v>
      </c>
      <c r="H471" s="5" t="s">
        <v>178</v>
      </c>
      <c r="I471" s="5" t="s">
        <v>745</v>
      </c>
      <c r="J471" s="5" t="s">
        <v>765</v>
      </c>
    </row>
    <row r="472" customFormat="false" ht="75" hidden="false" customHeight="true" outlineLevel="0" collapsed="false">
      <c r="A472" s="5" t="s">
        <v>2858</v>
      </c>
      <c r="B472" s="5" t="s">
        <v>547</v>
      </c>
      <c r="C472" s="5" t="s">
        <v>2859</v>
      </c>
      <c r="D472" s="5" t="s">
        <v>749</v>
      </c>
      <c r="E472" s="5" t="s">
        <v>782</v>
      </c>
      <c r="F472" s="5" t="s">
        <v>2860</v>
      </c>
      <c r="G472" s="5" t="s">
        <v>2861</v>
      </c>
      <c r="H472" s="5"/>
      <c r="I472" s="5" t="s">
        <v>745</v>
      </c>
      <c r="J472" s="5" t="s">
        <v>765</v>
      </c>
    </row>
    <row r="473" customFormat="false" ht="75" hidden="false" customHeight="true" outlineLevel="0" collapsed="false">
      <c r="A473" s="5" t="s">
        <v>2862</v>
      </c>
      <c r="B473" s="5" t="s">
        <v>547</v>
      </c>
      <c r="C473" s="5" t="s">
        <v>2863</v>
      </c>
      <c r="D473" s="5" t="s">
        <v>772</v>
      </c>
      <c r="E473" s="5" t="s">
        <v>782</v>
      </c>
      <c r="F473" s="5" t="s">
        <v>2864</v>
      </c>
      <c r="G473" s="5" t="s">
        <v>2865</v>
      </c>
      <c r="H473" s="5"/>
      <c r="I473" s="5" t="s">
        <v>745</v>
      </c>
      <c r="J473" s="5" t="s">
        <v>2866</v>
      </c>
    </row>
    <row r="474" customFormat="false" ht="75" hidden="false" customHeight="true" outlineLevel="0" collapsed="false">
      <c r="A474" s="5" t="s">
        <v>2867</v>
      </c>
      <c r="B474" s="5" t="s">
        <v>547</v>
      </c>
      <c r="C474" s="5" t="s">
        <v>2868</v>
      </c>
      <c r="D474" s="5" t="s">
        <v>772</v>
      </c>
      <c r="E474" s="5" t="s">
        <v>762</v>
      </c>
      <c r="F474" s="5" t="s">
        <v>2869</v>
      </c>
      <c r="G474" s="5" t="s">
        <v>2870</v>
      </c>
      <c r="H474" s="5"/>
      <c r="I474" s="5" t="s">
        <v>734</v>
      </c>
      <c r="J474" s="5" t="s">
        <v>2871</v>
      </c>
    </row>
    <row r="475" customFormat="false" ht="75" hidden="false" customHeight="true" outlineLevel="0" collapsed="false">
      <c r="A475" s="5" t="s">
        <v>2872</v>
      </c>
      <c r="B475" s="5" t="s">
        <v>556</v>
      </c>
      <c r="C475" s="5" t="s">
        <v>2873</v>
      </c>
      <c r="D475" s="5" t="s">
        <v>729</v>
      </c>
      <c r="E475" s="5" t="s">
        <v>730</v>
      </c>
      <c r="F475" s="5" t="s">
        <v>2874</v>
      </c>
      <c r="G475" s="5" t="s">
        <v>2875</v>
      </c>
      <c r="H475" s="5"/>
      <c r="I475" s="5" t="s">
        <v>745</v>
      </c>
      <c r="J475" s="5" t="s">
        <v>2876</v>
      </c>
    </row>
    <row r="476" customFormat="false" ht="75" hidden="false" customHeight="true" outlineLevel="0" collapsed="false">
      <c r="A476" s="5" t="s">
        <v>2877</v>
      </c>
      <c r="B476" s="5" t="s">
        <v>556</v>
      </c>
      <c r="C476" s="5" t="s">
        <v>2878</v>
      </c>
      <c r="D476" s="5" t="s">
        <v>729</v>
      </c>
      <c r="E476" s="5" t="s">
        <v>750</v>
      </c>
      <c r="F476" s="5" t="s">
        <v>2879</v>
      </c>
      <c r="G476" s="5" t="s">
        <v>2880</v>
      </c>
      <c r="H476" s="5"/>
      <c r="I476" s="5" t="s">
        <v>745</v>
      </c>
      <c r="J476" s="5" t="s">
        <v>2881</v>
      </c>
    </row>
    <row r="477" customFormat="false" ht="75" hidden="false" customHeight="true" outlineLevel="0" collapsed="false">
      <c r="A477" s="5" t="s">
        <v>2882</v>
      </c>
      <c r="B477" s="5" t="s">
        <v>556</v>
      </c>
      <c r="C477" s="5" t="s">
        <v>2883</v>
      </c>
      <c r="D477" s="5" t="s">
        <v>729</v>
      </c>
      <c r="E477" s="5" t="s">
        <v>782</v>
      </c>
      <c r="F477" s="5" t="s">
        <v>2884</v>
      </c>
      <c r="G477" s="5" t="s">
        <v>2885</v>
      </c>
      <c r="H477" s="5" t="s">
        <v>170</v>
      </c>
      <c r="I477" s="5" t="s">
        <v>745</v>
      </c>
      <c r="J477" s="5" t="s">
        <v>2886</v>
      </c>
    </row>
    <row r="478" customFormat="false" ht="75" hidden="false" customHeight="true" outlineLevel="0" collapsed="false">
      <c r="A478" s="5" t="s">
        <v>2887</v>
      </c>
      <c r="B478" s="5" t="s">
        <v>556</v>
      </c>
      <c r="C478" s="5" t="s">
        <v>2888</v>
      </c>
      <c r="D478" s="5" t="s">
        <v>729</v>
      </c>
      <c r="E478" s="5" t="s">
        <v>782</v>
      </c>
      <c r="F478" s="5" t="s">
        <v>2889</v>
      </c>
      <c r="G478" s="5" t="s">
        <v>2890</v>
      </c>
      <c r="H478" s="5" t="s">
        <v>2891</v>
      </c>
      <c r="I478" s="5" t="s">
        <v>753</v>
      </c>
      <c r="J478" s="5" t="s">
        <v>2892</v>
      </c>
    </row>
    <row r="479" customFormat="false" ht="75" hidden="false" customHeight="true" outlineLevel="0" collapsed="false">
      <c r="A479" s="5" t="s">
        <v>2893</v>
      </c>
      <c r="B479" s="5" t="s">
        <v>556</v>
      </c>
      <c r="C479" s="5" t="s">
        <v>2894</v>
      </c>
      <c r="D479" s="5" t="s">
        <v>749</v>
      </c>
      <c r="E479" s="5" t="s">
        <v>762</v>
      </c>
      <c r="F479" s="5" t="s">
        <v>2895</v>
      </c>
      <c r="G479" s="5" t="s">
        <v>2896</v>
      </c>
      <c r="H479" s="5" t="s">
        <v>2897</v>
      </c>
      <c r="I479" s="5" t="s">
        <v>745</v>
      </c>
      <c r="J479" s="5" t="s">
        <v>765</v>
      </c>
    </row>
    <row r="480" customFormat="false" ht="75" hidden="false" customHeight="true" outlineLevel="0" collapsed="false">
      <c r="A480" s="5" t="s">
        <v>2898</v>
      </c>
      <c r="B480" s="5" t="s">
        <v>556</v>
      </c>
      <c r="C480" s="5" t="s">
        <v>2899</v>
      </c>
      <c r="D480" s="5" t="s">
        <v>749</v>
      </c>
      <c r="E480" s="5" t="s">
        <v>762</v>
      </c>
      <c r="F480" s="5" t="s">
        <v>2900</v>
      </c>
      <c r="G480" s="5" t="s">
        <v>2896</v>
      </c>
      <c r="H480" s="5"/>
      <c r="I480" s="5" t="s">
        <v>745</v>
      </c>
      <c r="J480" s="5" t="s">
        <v>2901</v>
      </c>
    </row>
    <row r="481" customFormat="false" ht="75" hidden="false" customHeight="true" outlineLevel="0" collapsed="false">
      <c r="A481" s="5" t="s">
        <v>2902</v>
      </c>
      <c r="B481" s="5" t="s">
        <v>556</v>
      </c>
      <c r="C481" s="5" t="s">
        <v>2903</v>
      </c>
      <c r="D481" s="5" t="s">
        <v>749</v>
      </c>
      <c r="E481" s="5" t="s">
        <v>782</v>
      </c>
      <c r="F481" s="5" t="s">
        <v>2904</v>
      </c>
      <c r="G481" s="5" t="s">
        <v>2896</v>
      </c>
      <c r="H481" s="5" t="s">
        <v>32</v>
      </c>
      <c r="I481" s="5" t="s">
        <v>734</v>
      </c>
      <c r="J481" s="5" t="s">
        <v>2905</v>
      </c>
    </row>
    <row r="482" customFormat="false" ht="75" hidden="false" customHeight="true" outlineLevel="0" collapsed="false">
      <c r="A482" s="5" t="s">
        <v>2906</v>
      </c>
      <c r="B482" s="5" t="s">
        <v>556</v>
      </c>
      <c r="C482" s="5" t="s">
        <v>2907</v>
      </c>
      <c r="D482" s="5" t="s">
        <v>749</v>
      </c>
      <c r="E482" s="5" t="s">
        <v>782</v>
      </c>
      <c r="F482" s="5" t="s">
        <v>2908</v>
      </c>
      <c r="G482" s="5" t="s">
        <v>2909</v>
      </c>
      <c r="H482" s="5"/>
      <c r="I482" s="5" t="s">
        <v>745</v>
      </c>
      <c r="J482" s="5" t="s">
        <v>765</v>
      </c>
    </row>
    <row r="483" customFormat="false" ht="75" hidden="false" customHeight="true" outlineLevel="0" collapsed="false">
      <c r="A483" s="5" t="s">
        <v>2910</v>
      </c>
      <c r="B483" s="5" t="s">
        <v>556</v>
      </c>
      <c r="C483" s="5" t="s">
        <v>2911</v>
      </c>
      <c r="D483" s="5" t="s">
        <v>749</v>
      </c>
      <c r="E483" s="5" t="s">
        <v>782</v>
      </c>
      <c r="F483" s="5" t="s">
        <v>2912</v>
      </c>
      <c r="G483" s="5" t="s">
        <v>2913</v>
      </c>
      <c r="H483" s="5" t="s">
        <v>49</v>
      </c>
      <c r="I483" s="5" t="s">
        <v>734</v>
      </c>
      <c r="J483" s="5" t="s">
        <v>2914</v>
      </c>
    </row>
    <row r="484" customFormat="false" ht="75" hidden="false" customHeight="true" outlineLevel="0" collapsed="false">
      <c r="A484" s="5" t="s">
        <v>2915</v>
      </c>
      <c r="B484" s="5" t="s">
        <v>556</v>
      </c>
      <c r="C484" s="5" t="s">
        <v>2916</v>
      </c>
      <c r="D484" s="5" t="s">
        <v>772</v>
      </c>
      <c r="E484" s="5" t="s">
        <v>782</v>
      </c>
      <c r="F484" s="5" t="s">
        <v>2917</v>
      </c>
      <c r="G484" s="5" t="s">
        <v>2918</v>
      </c>
      <c r="H484" s="5"/>
      <c r="I484" s="5" t="s">
        <v>785</v>
      </c>
      <c r="J484" s="5" t="s">
        <v>2919</v>
      </c>
    </row>
    <row r="485" customFormat="false" ht="75" hidden="false" customHeight="true" outlineLevel="0" collapsed="false">
      <c r="A485" s="5" t="s">
        <v>2920</v>
      </c>
      <c r="B485" s="5" t="s">
        <v>556</v>
      </c>
      <c r="C485" s="5" t="s">
        <v>2921</v>
      </c>
      <c r="D485" s="5" t="s">
        <v>729</v>
      </c>
      <c r="E485" s="5" t="s">
        <v>924</v>
      </c>
      <c r="F485" s="5" t="s">
        <v>2922</v>
      </c>
      <c r="G485" s="5" t="s">
        <v>2923</v>
      </c>
      <c r="H485" s="5"/>
      <c r="I485" s="5" t="s">
        <v>753</v>
      </c>
      <c r="J485" s="5" t="s">
        <v>2924</v>
      </c>
    </row>
    <row r="486" customFormat="false" ht="75" hidden="false" customHeight="true" outlineLevel="0" collapsed="false">
      <c r="A486" s="5" t="s">
        <v>2925</v>
      </c>
      <c r="B486" s="5" t="s">
        <v>556</v>
      </c>
      <c r="C486" s="5" t="s">
        <v>2926</v>
      </c>
      <c r="D486" s="5" t="s">
        <v>729</v>
      </c>
      <c r="E486" s="5" t="s">
        <v>730</v>
      </c>
      <c r="F486" s="5" t="s">
        <v>2927</v>
      </c>
      <c r="G486" s="5" t="s">
        <v>2928</v>
      </c>
      <c r="H486" s="5"/>
      <c r="I486" s="5" t="s">
        <v>745</v>
      </c>
      <c r="J486" s="5" t="s">
        <v>1224</v>
      </c>
    </row>
    <row r="487" customFormat="false" ht="75" hidden="false" customHeight="true" outlineLevel="0" collapsed="false">
      <c r="A487" s="5" t="s">
        <v>2929</v>
      </c>
      <c r="B487" s="5" t="s">
        <v>564</v>
      </c>
      <c r="C487" s="5" t="s">
        <v>2930</v>
      </c>
      <c r="D487" s="5" t="s">
        <v>749</v>
      </c>
      <c r="E487" s="5" t="s">
        <v>730</v>
      </c>
      <c r="F487" s="5" t="s">
        <v>2931</v>
      </c>
      <c r="G487" s="5" t="s">
        <v>2932</v>
      </c>
      <c r="H487" s="5"/>
      <c r="I487" s="5" t="s">
        <v>734</v>
      </c>
      <c r="J487" s="5" t="s">
        <v>973</v>
      </c>
    </row>
    <row r="488" customFormat="false" ht="75" hidden="false" customHeight="true" outlineLevel="0" collapsed="false">
      <c r="A488" s="5" t="s">
        <v>2933</v>
      </c>
      <c r="B488" s="5" t="s">
        <v>564</v>
      </c>
      <c r="C488" s="5" t="s">
        <v>2934</v>
      </c>
      <c r="D488" s="5" t="s">
        <v>729</v>
      </c>
      <c r="E488" s="5" t="s">
        <v>802</v>
      </c>
      <c r="F488" s="5" t="s">
        <v>2935</v>
      </c>
      <c r="G488" s="5" t="s">
        <v>2936</v>
      </c>
      <c r="H488" s="5" t="s">
        <v>138</v>
      </c>
      <c r="I488" s="5" t="s">
        <v>753</v>
      </c>
      <c r="J488" s="5" t="s">
        <v>2937</v>
      </c>
    </row>
    <row r="489" customFormat="false" ht="75" hidden="false" customHeight="true" outlineLevel="0" collapsed="false">
      <c r="A489" s="5" t="s">
        <v>2938</v>
      </c>
      <c r="B489" s="5" t="s">
        <v>564</v>
      </c>
      <c r="C489" s="5" t="s">
        <v>2939</v>
      </c>
      <c r="D489" s="5" t="s">
        <v>729</v>
      </c>
      <c r="E489" s="5" t="s">
        <v>730</v>
      </c>
      <c r="F489" s="5" t="s">
        <v>2940</v>
      </c>
      <c r="G489" s="5" t="s">
        <v>2941</v>
      </c>
      <c r="H489" s="5" t="s">
        <v>130</v>
      </c>
      <c r="I489" s="5" t="s">
        <v>745</v>
      </c>
      <c r="J489" s="5" t="s">
        <v>2942</v>
      </c>
    </row>
    <row r="490" customFormat="false" ht="75" hidden="false" customHeight="true" outlineLevel="0" collapsed="false">
      <c r="A490" s="5" t="s">
        <v>2943</v>
      </c>
      <c r="B490" s="5" t="s">
        <v>564</v>
      </c>
      <c r="C490" s="5" t="s">
        <v>2944</v>
      </c>
      <c r="D490" s="5" t="s">
        <v>749</v>
      </c>
      <c r="E490" s="5" t="s">
        <v>888</v>
      </c>
      <c r="F490" s="5" t="s">
        <v>2945</v>
      </c>
      <c r="G490" s="5" t="s">
        <v>2946</v>
      </c>
      <c r="H490" s="5"/>
      <c r="I490" s="5" t="s">
        <v>745</v>
      </c>
      <c r="J490" s="5" t="s">
        <v>2947</v>
      </c>
    </row>
    <row r="491" customFormat="false" ht="75" hidden="false" customHeight="true" outlineLevel="0" collapsed="false">
      <c r="A491" s="5" t="s">
        <v>2948</v>
      </c>
      <c r="B491" s="5" t="s">
        <v>564</v>
      </c>
      <c r="C491" s="5" t="s">
        <v>2949</v>
      </c>
      <c r="D491" s="5" t="s">
        <v>749</v>
      </c>
      <c r="E491" s="5" t="s">
        <v>782</v>
      </c>
      <c r="F491" s="5" t="s">
        <v>2950</v>
      </c>
      <c r="G491" s="5" t="s">
        <v>2951</v>
      </c>
      <c r="H491" s="5" t="s">
        <v>49</v>
      </c>
      <c r="I491" s="5" t="s">
        <v>734</v>
      </c>
      <c r="J491" s="5" t="s">
        <v>2952</v>
      </c>
    </row>
    <row r="492" customFormat="false" ht="75" hidden="false" customHeight="true" outlineLevel="0" collapsed="false">
      <c r="A492" s="5" t="s">
        <v>2953</v>
      </c>
      <c r="B492" s="5" t="s">
        <v>564</v>
      </c>
      <c r="C492" s="5" t="s">
        <v>2954</v>
      </c>
      <c r="D492" s="5" t="s">
        <v>772</v>
      </c>
      <c r="E492" s="5" t="s">
        <v>782</v>
      </c>
      <c r="F492" s="5" t="s">
        <v>2955</v>
      </c>
      <c r="G492" s="5" t="s">
        <v>2956</v>
      </c>
      <c r="H492" s="5"/>
      <c r="I492" s="5" t="s">
        <v>734</v>
      </c>
      <c r="J492" s="5" t="s">
        <v>2957</v>
      </c>
    </row>
    <row r="493" customFormat="false" ht="75" hidden="false" customHeight="true" outlineLevel="0" collapsed="false">
      <c r="A493" s="5" t="s">
        <v>2958</v>
      </c>
      <c r="B493" s="5" t="s">
        <v>564</v>
      </c>
      <c r="C493" s="5" t="s">
        <v>2959</v>
      </c>
      <c r="D493" s="5" t="s">
        <v>772</v>
      </c>
      <c r="E493" s="5" t="s">
        <v>782</v>
      </c>
      <c r="F493" s="5" t="s">
        <v>2960</v>
      </c>
      <c r="G493" s="5" t="s">
        <v>2961</v>
      </c>
      <c r="H493" s="5" t="s">
        <v>32</v>
      </c>
      <c r="I493" s="5" t="s">
        <v>734</v>
      </c>
      <c r="J493" s="5" t="s">
        <v>2377</v>
      </c>
    </row>
    <row r="494" customFormat="false" ht="75" hidden="false" customHeight="true" outlineLevel="0" collapsed="false">
      <c r="A494" s="5" t="s">
        <v>2962</v>
      </c>
      <c r="B494" s="5" t="s">
        <v>564</v>
      </c>
      <c r="C494" s="5" t="s">
        <v>2963</v>
      </c>
      <c r="D494" s="5" t="s">
        <v>772</v>
      </c>
      <c r="E494" s="5" t="s">
        <v>782</v>
      </c>
      <c r="F494" s="5" t="s">
        <v>2964</v>
      </c>
      <c r="G494" s="5" t="s">
        <v>2965</v>
      </c>
      <c r="H494" s="5"/>
      <c r="I494" s="5" t="s">
        <v>734</v>
      </c>
      <c r="J494" s="5" t="s">
        <v>2079</v>
      </c>
    </row>
    <row r="495" customFormat="false" ht="75" hidden="false" customHeight="true" outlineLevel="0" collapsed="false">
      <c r="A495" s="5" t="s">
        <v>2966</v>
      </c>
      <c r="B495" s="5" t="s">
        <v>564</v>
      </c>
      <c r="C495" s="5" t="s">
        <v>2967</v>
      </c>
      <c r="D495" s="5" t="s">
        <v>772</v>
      </c>
      <c r="E495" s="5" t="s">
        <v>762</v>
      </c>
      <c r="F495" s="5" t="s">
        <v>2968</v>
      </c>
      <c r="G495" s="5" t="s">
        <v>2969</v>
      </c>
      <c r="H495" s="5" t="s">
        <v>2970</v>
      </c>
      <c r="I495" s="5" t="s">
        <v>745</v>
      </c>
      <c r="J495" s="5" t="s">
        <v>765</v>
      </c>
    </row>
    <row r="496" customFormat="false" ht="75" hidden="false" customHeight="true" outlineLevel="0" collapsed="false">
      <c r="A496" s="5" t="s">
        <v>2971</v>
      </c>
      <c r="B496" s="5" t="s">
        <v>564</v>
      </c>
      <c r="C496" s="5" t="s">
        <v>2972</v>
      </c>
      <c r="D496" s="5" t="s">
        <v>772</v>
      </c>
      <c r="E496" s="5" t="s">
        <v>762</v>
      </c>
      <c r="F496" s="5" t="s">
        <v>2973</v>
      </c>
      <c r="G496" s="5" t="s">
        <v>2974</v>
      </c>
      <c r="H496" s="5"/>
      <c r="I496" s="5" t="s">
        <v>734</v>
      </c>
      <c r="J496" s="5" t="s">
        <v>2975</v>
      </c>
    </row>
    <row r="497" customFormat="false" ht="75" hidden="false" customHeight="true" outlineLevel="0" collapsed="false">
      <c r="A497" s="5" t="s">
        <v>2976</v>
      </c>
      <c r="B497" s="5" t="s">
        <v>564</v>
      </c>
      <c r="C497" s="5" t="s">
        <v>2977</v>
      </c>
      <c r="D497" s="5" t="s">
        <v>749</v>
      </c>
      <c r="E497" s="5" t="s">
        <v>782</v>
      </c>
      <c r="F497" s="5" t="s">
        <v>2978</v>
      </c>
      <c r="G497" s="5" t="s">
        <v>2979</v>
      </c>
      <c r="H497" s="5"/>
      <c r="I497" s="5" t="s">
        <v>745</v>
      </c>
      <c r="J497" s="5" t="s">
        <v>765</v>
      </c>
    </row>
    <row r="498" customFormat="false" ht="75" hidden="false" customHeight="true" outlineLevel="0" collapsed="false">
      <c r="A498" s="5" t="s">
        <v>2980</v>
      </c>
      <c r="B498" s="5" t="s">
        <v>564</v>
      </c>
      <c r="C498" s="5" t="s">
        <v>2981</v>
      </c>
      <c r="D498" s="5" t="s">
        <v>749</v>
      </c>
      <c r="E498" s="5" t="s">
        <v>789</v>
      </c>
      <c r="F498" s="5" t="s">
        <v>2982</v>
      </c>
      <c r="G498" s="5" t="s">
        <v>2983</v>
      </c>
      <c r="H498" s="5" t="s">
        <v>1949</v>
      </c>
      <c r="I498" s="5" t="s">
        <v>753</v>
      </c>
      <c r="J498" s="5" t="s">
        <v>2984</v>
      </c>
    </row>
    <row r="499" customFormat="false" ht="75" hidden="false" customHeight="true" outlineLevel="0" collapsed="false">
      <c r="A499" s="5" t="s">
        <v>2985</v>
      </c>
      <c r="B499" s="5" t="s">
        <v>564</v>
      </c>
      <c r="C499" s="5" t="s">
        <v>2986</v>
      </c>
      <c r="D499" s="5" t="s">
        <v>749</v>
      </c>
      <c r="E499" s="5" t="s">
        <v>789</v>
      </c>
      <c r="F499" s="5" t="s">
        <v>2987</v>
      </c>
      <c r="G499" s="5" t="s">
        <v>2988</v>
      </c>
      <c r="H499" s="5" t="s">
        <v>90</v>
      </c>
      <c r="I499" s="5" t="s">
        <v>734</v>
      </c>
      <c r="J499" s="5" t="s">
        <v>2989</v>
      </c>
    </row>
    <row r="500" customFormat="false" ht="75" hidden="false" customHeight="true" outlineLevel="0" collapsed="false">
      <c r="A500" s="5" t="s">
        <v>2990</v>
      </c>
      <c r="B500" s="5" t="s">
        <v>564</v>
      </c>
      <c r="C500" s="5" t="s">
        <v>2991</v>
      </c>
      <c r="D500" s="5" t="s">
        <v>749</v>
      </c>
      <c r="E500" s="5" t="s">
        <v>750</v>
      </c>
      <c r="F500" s="5" t="s">
        <v>2992</v>
      </c>
      <c r="G500" s="5" t="s">
        <v>568</v>
      </c>
      <c r="H500" s="5" t="s">
        <v>234</v>
      </c>
      <c r="I500" s="5" t="s">
        <v>745</v>
      </c>
      <c r="J500" s="5" t="s">
        <v>1378</v>
      </c>
    </row>
    <row r="501" customFormat="false" ht="75" hidden="false" customHeight="true" outlineLevel="0" collapsed="false">
      <c r="A501" s="5" t="s">
        <v>2993</v>
      </c>
      <c r="B501" s="5" t="s">
        <v>573</v>
      </c>
      <c r="C501" s="5" t="s">
        <v>2994</v>
      </c>
      <c r="D501" s="5" t="s">
        <v>772</v>
      </c>
      <c r="E501" s="5" t="s">
        <v>782</v>
      </c>
      <c r="F501" s="5" t="s">
        <v>2995</v>
      </c>
      <c r="G501" s="5" t="s">
        <v>2996</v>
      </c>
      <c r="H501" s="5" t="s">
        <v>274</v>
      </c>
      <c r="I501" s="5" t="s">
        <v>734</v>
      </c>
      <c r="J501" s="5" t="s">
        <v>2997</v>
      </c>
    </row>
    <row r="502" customFormat="false" ht="75" hidden="false" customHeight="true" outlineLevel="0" collapsed="false">
      <c r="A502" s="5" t="s">
        <v>2998</v>
      </c>
      <c r="B502" s="5" t="s">
        <v>573</v>
      </c>
      <c r="C502" s="5" t="s">
        <v>2999</v>
      </c>
      <c r="D502" s="5" t="s">
        <v>772</v>
      </c>
      <c r="E502" s="5" t="s">
        <v>782</v>
      </c>
      <c r="F502" s="5" t="s">
        <v>3000</v>
      </c>
      <c r="G502" s="5" t="s">
        <v>2996</v>
      </c>
      <c r="H502" s="5"/>
      <c r="I502" s="5" t="s">
        <v>734</v>
      </c>
      <c r="J502" s="5" t="s">
        <v>3001</v>
      </c>
    </row>
    <row r="503" customFormat="false" ht="75" hidden="false" customHeight="true" outlineLevel="0" collapsed="false">
      <c r="A503" s="5" t="s">
        <v>3002</v>
      </c>
      <c r="B503" s="5" t="s">
        <v>573</v>
      </c>
      <c r="C503" s="5" t="s">
        <v>3003</v>
      </c>
      <c r="D503" s="5" t="s">
        <v>772</v>
      </c>
      <c r="E503" s="5" t="s">
        <v>782</v>
      </c>
      <c r="F503" s="5" t="s">
        <v>3004</v>
      </c>
      <c r="G503" s="5" t="s">
        <v>2996</v>
      </c>
      <c r="H503" s="5"/>
      <c r="I503" s="5" t="s">
        <v>734</v>
      </c>
      <c r="J503" s="5" t="s">
        <v>3005</v>
      </c>
    </row>
    <row r="504" customFormat="false" ht="75" hidden="false" customHeight="true" outlineLevel="0" collapsed="false">
      <c r="A504" s="5" t="s">
        <v>3006</v>
      </c>
      <c r="B504" s="5" t="s">
        <v>573</v>
      </c>
      <c r="C504" s="5" t="s">
        <v>3007</v>
      </c>
      <c r="D504" s="5" t="s">
        <v>772</v>
      </c>
      <c r="E504" s="5" t="s">
        <v>782</v>
      </c>
      <c r="F504" s="5" t="s">
        <v>3008</v>
      </c>
      <c r="G504" s="5" t="s">
        <v>2996</v>
      </c>
      <c r="H504" s="5"/>
      <c r="I504" s="5" t="s">
        <v>734</v>
      </c>
      <c r="J504" s="5" t="s">
        <v>3009</v>
      </c>
    </row>
    <row r="505" customFormat="false" ht="75" hidden="false" customHeight="true" outlineLevel="0" collapsed="false">
      <c r="A505" s="5" t="s">
        <v>3010</v>
      </c>
      <c r="B505" s="5" t="s">
        <v>573</v>
      </c>
      <c r="C505" s="5" t="s">
        <v>3011</v>
      </c>
      <c r="D505" s="5" t="s">
        <v>772</v>
      </c>
      <c r="E505" s="5" t="s">
        <v>782</v>
      </c>
      <c r="F505" s="5" t="s">
        <v>3012</v>
      </c>
      <c r="G505" s="5" t="s">
        <v>2996</v>
      </c>
      <c r="H505" s="5" t="s">
        <v>23</v>
      </c>
      <c r="I505" s="5" t="s">
        <v>734</v>
      </c>
      <c r="J505" s="5" t="s">
        <v>3013</v>
      </c>
    </row>
    <row r="506" customFormat="false" ht="75" hidden="false" customHeight="true" outlineLevel="0" collapsed="false">
      <c r="A506" s="5" t="s">
        <v>3014</v>
      </c>
      <c r="B506" s="5" t="s">
        <v>573</v>
      </c>
      <c r="C506" s="5" t="s">
        <v>3015</v>
      </c>
      <c r="D506" s="5" t="s">
        <v>772</v>
      </c>
      <c r="E506" s="5" t="s">
        <v>782</v>
      </c>
      <c r="F506" s="5" t="s">
        <v>3016</v>
      </c>
      <c r="G506" s="5" t="s">
        <v>2996</v>
      </c>
      <c r="H506" s="5" t="s">
        <v>23</v>
      </c>
      <c r="I506" s="5" t="s">
        <v>734</v>
      </c>
      <c r="J506" s="5" t="s">
        <v>3017</v>
      </c>
    </row>
    <row r="507" customFormat="false" ht="75" hidden="false" customHeight="true" outlineLevel="0" collapsed="false">
      <c r="A507" s="5" t="s">
        <v>3018</v>
      </c>
      <c r="B507" s="5" t="s">
        <v>573</v>
      </c>
      <c r="C507" s="5" t="s">
        <v>3019</v>
      </c>
      <c r="D507" s="5" t="s">
        <v>772</v>
      </c>
      <c r="E507" s="5" t="s">
        <v>782</v>
      </c>
      <c r="F507" s="5" t="s">
        <v>3020</v>
      </c>
      <c r="G507" s="5" t="s">
        <v>2996</v>
      </c>
      <c r="H507" s="5" t="s">
        <v>1329</v>
      </c>
      <c r="I507" s="5" t="s">
        <v>734</v>
      </c>
      <c r="J507" s="5" t="s">
        <v>3021</v>
      </c>
    </row>
    <row r="508" customFormat="false" ht="75" hidden="false" customHeight="true" outlineLevel="0" collapsed="false">
      <c r="A508" s="5" t="s">
        <v>3022</v>
      </c>
      <c r="B508" s="5" t="s">
        <v>573</v>
      </c>
      <c r="C508" s="5" t="s">
        <v>3023</v>
      </c>
      <c r="D508" s="5" t="s">
        <v>772</v>
      </c>
      <c r="E508" s="5" t="s">
        <v>888</v>
      </c>
      <c r="F508" s="5" t="s">
        <v>3024</v>
      </c>
      <c r="G508" s="5" t="s">
        <v>2996</v>
      </c>
      <c r="H508" s="5"/>
      <c r="I508" s="5" t="s">
        <v>745</v>
      </c>
      <c r="J508" s="5" t="s">
        <v>3025</v>
      </c>
    </row>
    <row r="509" customFormat="false" ht="75" hidden="false" customHeight="true" outlineLevel="0" collapsed="false">
      <c r="A509" s="5" t="s">
        <v>3026</v>
      </c>
      <c r="B509" s="5" t="s">
        <v>573</v>
      </c>
      <c r="C509" s="5" t="s">
        <v>3027</v>
      </c>
      <c r="D509" s="5" t="s">
        <v>749</v>
      </c>
      <c r="E509" s="5" t="s">
        <v>782</v>
      </c>
      <c r="F509" s="5" t="s">
        <v>3028</v>
      </c>
      <c r="G509" s="5" t="s">
        <v>2996</v>
      </c>
      <c r="H509" s="5" t="s">
        <v>3029</v>
      </c>
      <c r="I509" s="5" t="s">
        <v>734</v>
      </c>
      <c r="J509" s="5" t="s">
        <v>3030</v>
      </c>
    </row>
    <row r="510" customFormat="false" ht="75" hidden="false" customHeight="true" outlineLevel="0" collapsed="false">
      <c r="A510" s="5" t="s">
        <v>3031</v>
      </c>
      <c r="B510" s="5" t="s">
        <v>573</v>
      </c>
      <c r="C510" s="5" t="s">
        <v>3032</v>
      </c>
      <c r="D510" s="5" t="s">
        <v>749</v>
      </c>
      <c r="E510" s="5" t="s">
        <v>782</v>
      </c>
      <c r="F510" s="5" t="s">
        <v>3033</v>
      </c>
      <c r="G510" s="5" t="s">
        <v>3034</v>
      </c>
      <c r="H510" s="5" t="s">
        <v>3035</v>
      </c>
      <c r="I510" s="5" t="s">
        <v>753</v>
      </c>
      <c r="J510" s="5" t="s">
        <v>3036</v>
      </c>
    </row>
    <row r="511" customFormat="false" ht="75" hidden="false" customHeight="true" outlineLevel="0" collapsed="false">
      <c r="A511" s="5" t="s">
        <v>3037</v>
      </c>
      <c r="B511" s="5" t="s">
        <v>573</v>
      </c>
      <c r="C511" s="5" t="s">
        <v>3038</v>
      </c>
      <c r="D511" s="5" t="s">
        <v>729</v>
      </c>
      <c r="E511" s="5" t="s">
        <v>782</v>
      </c>
      <c r="F511" s="5" t="s">
        <v>3039</v>
      </c>
      <c r="G511" s="5" t="s">
        <v>3040</v>
      </c>
      <c r="H511" s="5" t="s">
        <v>210</v>
      </c>
      <c r="I511" s="5" t="s">
        <v>753</v>
      </c>
      <c r="J511" s="5" t="s">
        <v>3041</v>
      </c>
    </row>
    <row r="512" customFormat="false" ht="75" hidden="false" customHeight="true" outlineLevel="0" collapsed="false">
      <c r="A512" s="5" t="s">
        <v>3042</v>
      </c>
      <c r="B512" s="5" t="s">
        <v>573</v>
      </c>
      <c r="C512" s="5" t="s">
        <v>3043</v>
      </c>
      <c r="D512" s="5" t="s">
        <v>749</v>
      </c>
      <c r="E512" s="5" t="s">
        <v>762</v>
      </c>
      <c r="F512" s="5" t="s">
        <v>3044</v>
      </c>
      <c r="G512" s="5" t="s">
        <v>3045</v>
      </c>
      <c r="H512" s="5" t="s">
        <v>178</v>
      </c>
      <c r="I512" s="5" t="s">
        <v>745</v>
      </c>
      <c r="J512" s="5" t="s">
        <v>765</v>
      </c>
    </row>
    <row r="513" customFormat="false" ht="75" hidden="false" customHeight="true" outlineLevel="0" collapsed="false">
      <c r="A513" s="5" t="s">
        <v>3046</v>
      </c>
      <c r="B513" s="5" t="s">
        <v>573</v>
      </c>
      <c r="C513" s="5" t="s">
        <v>3047</v>
      </c>
      <c r="D513" s="5" t="s">
        <v>772</v>
      </c>
      <c r="E513" s="5" t="s">
        <v>762</v>
      </c>
      <c r="F513" s="5" t="s">
        <v>3048</v>
      </c>
      <c r="G513" s="5" t="s">
        <v>3049</v>
      </c>
      <c r="H513" s="5"/>
      <c r="I513" s="5" t="s">
        <v>745</v>
      </c>
      <c r="J513" s="5" t="s">
        <v>765</v>
      </c>
    </row>
    <row r="514" customFormat="false" ht="75" hidden="false" customHeight="true" outlineLevel="0" collapsed="false">
      <c r="A514" s="5" t="s">
        <v>3050</v>
      </c>
      <c r="B514" s="5" t="s">
        <v>573</v>
      </c>
      <c r="C514" s="5" t="s">
        <v>3051</v>
      </c>
      <c r="D514" s="5" t="s">
        <v>772</v>
      </c>
      <c r="E514" s="5" t="s">
        <v>789</v>
      </c>
      <c r="F514" s="5" t="s">
        <v>3052</v>
      </c>
      <c r="G514" s="5" t="s">
        <v>3053</v>
      </c>
      <c r="H514" s="5" t="s">
        <v>194</v>
      </c>
      <c r="I514" s="5" t="s">
        <v>753</v>
      </c>
      <c r="J514" s="5" t="s">
        <v>3054</v>
      </c>
    </row>
    <row r="515" customFormat="false" ht="75" hidden="false" customHeight="true" outlineLevel="0" collapsed="false">
      <c r="A515" s="5" t="s">
        <v>3055</v>
      </c>
      <c r="B515" s="5" t="s">
        <v>573</v>
      </c>
      <c r="C515" s="5" t="s">
        <v>3056</v>
      </c>
      <c r="D515" s="5" t="s">
        <v>729</v>
      </c>
      <c r="E515" s="5" t="s">
        <v>750</v>
      </c>
      <c r="F515" s="5" t="s">
        <v>3057</v>
      </c>
      <c r="G515" s="5" t="s">
        <v>576</v>
      </c>
      <c r="H515" s="5" t="s">
        <v>234</v>
      </c>
      <c r="I515" s="5" t="s">
        <v>745</v>
      </c>
      <c r="J515" s="5" t="s">
        <v>3058</v>
      </c>
    </row>
    <row r="516" customFormat="false" ht="75" hidden="false" customHeight="true" outlineLevel="0" collapsed="false">
      <c r="A516" s="5" t="s">
        <v>3059</v>
      </c>
      <c r="B516" s="5" t="s">
        <v>573</v>
      </c>
      <c r="C516" s="5" t="s">
        <v>3060</v>
      </c>
      <c r="D516" s="5" t="s">
        <v>772</v>
      </c>
      <c r="E516" s="5" t="s">
        <v>924</v>
      </c>
      <c r="F516" s="5" t="s">
        <v>3061</v>
      </c>
      <c r="G516" s="5" t="s">
        <v>576</v>
      </c>
      <c r="H516" s="5"/>
      <c r="I516" s="5" t="s">
        <v>745</v>
      </c>
      <c r="J516" s="5" t="s">
        <v>3062</v>
      </c>
    </row>
    <row r="517" customFormat="false" ht="75" hidden="false" customHeight="true" outlineLevel="0" collapsed="false">
      <c r="A517" s="5" t="s">
        <v>3063</v>
      </c>
      <c r="B517" s="5" t="s">
        <v>581</v>
      </c>
      <c r="C517" s="5" t="s">
        <v>3064</v>
      </c>
      <c r="D517" s="5" t="s">
        <v>729</v>
      </c>
      <c r="E517" s="5" t="s">
        <v>730</v>
      </c>
      <c r="F517" s="5" t="s">
        <v>3065</v>
      </c>
      <c r="G517" s="5" t="s">
        <v>3066</v>
      </c>
      <c r="H517" s="5" t="s">
        <v>3067</v>
      </c>
      <c r="I517" s="5" t="s">
        <v>734</v>
      </c>
      <c r="J517" s="5" t="s">
        <v>3068</v>
      </c>
    </row>
    <row r="518" customFormat="false" ht="75" hidden="false" customHeight="true" outlineLevel="0" collapsed="false">
      <c r="A518" s="5" t="s">
        <v>3069</v>
      </c>
      <c r="B518" s="5" t="s">
        <v>581</v>
      </c>
      <c r="C518" s="5" t="s">
        <v>3070</v>
      </c>
      <c r="D518" s="5" t="s">
        <v>729</v>
      </c>
      <c r="E518" s="5" t="s">
        <v>730</v>
      </c>
      <c r="F518" s="5" t="s">
        <v>3071</v>
      </c>
      <c r="G518" s="5" t="s">
        <v>3072</v>
      </c>
      <c r="H518" s="5"/>
      <c r="I518" s="5" t="s">
        <v>745</v>
      </c>
      <c r="J518" s="5" t="s">
        <v>3073</v>
      </c>
    </row>
    <row r="519" customFormat="false" ht="75" hidden="false" customHeight="true" outlineLevel="0" collapsed="false">
      <c r="A519" s="5" t="s">
        <v>3074</v>
      </c>
      <c r="B519" s="5" t="s">
        <v>581</v>
      </c>
      <c r="C519" s="5" t="s">
        <v>3075</v>
      </c>
      <c r="D519" s="5" t="s">
        <v>749</v>
      </c>
      <c r="E519" s="5" t="s">
        <v>802</v>
      </c>
      <c r="F519" s="5" t="s">
        <v>3076</v>
      </c>
      <c r="G519" s="5" t="s">
        <v>3077</v>
      </c>
      <c r="H519" s="5" t="s">
        <v>3078</v>
      </c>
      <c r="I519" s="5" t="s">
        <v>734</v>
      </c>
      <c r="J519" s="5" t="s">
        <v>3079</v>
      </c>
    </row>
    <row r="520" customFormat="false" ht="75" hidden="false" customHeight="true" outlineLevel="0" collapsed="false">
      <c r="A520" s="5" t="s">
        <v>3080</v>
      </c>
      <c r="B520" s="5" t="s">
        <v>581</v>
      </c>
      <c r="C520" s="5" t="s">
        <v>3081</v>
      </c>
      <c r="D520" s="5" t="s">
        <v>749</v>
      </c>
      <c r="E520" s="5" t="s">
        <v>888</v>
      </c>
      <c r="F520" s="5" t="s">
        <v>3082</v>
      </c>
      <c r="G520" s="5" t="s">
        <v>584</v>
      </c>
      <c r="H520" s="5"/>
      <c r="I520" s="5" t="s">
        <v>745</v>
      </c>
      <c r="J520" s="5" t="s">
        <v>3083</v>
      </c>
    </row>
    <row r="521" customFormat="false" ht="75" hidden="false" customHeight="true" outlineLevel="0" collapsed="false">
      <c r="A521" s="5" t="s">
        <v>3084</v>
      </c>
      <c r="B521" s="5" t="s">
        <v>581</v>
      </c>
      <c r="C521" s="5" t="s">
        <v>3085</v>
      </c>
      <c r="D521" s="5" t="s">
        <v>749</v>
      </c>
      <c r="E521" s="5" t="s">
        <v>730</v>
      </c>
      <c r="F521" s="5" t="s">
        <v>3086</v>
      </c>
      <c r="G521" s="5" t="s">
        <v>3087</v>
      </c>
      <c r="H521" s="5"/>
      <c r="I521" s="5" t="s">
        <v>734</v>
      </c>
      <c r="J521" s="5" t="s">
        <v>973</v>
      </c>
    </row>
    <row r="522" customFormat="false" ht="75" hidden="false" customHeight="true" outlineLevel="0" collapsed="false">
      <c r="A522" s="5" t="s">
        <v>3088</v>
      </c>
      <c r="B522" s="5" t="s">
        <v>581</v>
      </c>
      <c r="C522" s="5" t="s">
        <v>1235</v>
      </c>
      <c r="D522" s="5" t="s">
        <v>749</v>
      </c>
      <c r="E522" s="5" t="s">
        <v>782</v>
      </c>
      <c r="F522" s="5" t="s">
        <v>3089</v>
      </c>
      <c r="G522" s="5" t="s">
        <v>3087</v>
      </c>
      <c r="H522" s="5"/>
      <c r="I522" s="5" t="s">
        <v>734</v>
      </c>
      <c r="J522" s="5" t="s">
        <v>1237</v>
      </c>
    </row>
    <row r="523" customFormat="false" ht="75" hidden="false" customHeight="true" outlineLevel="0" collapsed="false">
      <c r="A523" s="5" t="s">
        <v>3090</v>
      </c>
      <c r="B523" s="5" t="s">
        <v>581</v>
      </c>
      <c r="C523" s="5" t="s">
        <v>3091</v>
      </c>
      <c r="D523" s="5" t="s">
        <v>749</v>
      </c>
      <c r="E523" s="5" t="s">
        <v>782</v>
      </c>
      <c r="F523" s="5" t="s">
        <v>3092</v>
      </c>
      <c r="G523" s="5" t="s">
        <v>3087</v>
      </c>
      <c r="H523" s="5" t="s">
        <v>3093</v>
      </c>
      <c r="I523" s="5" t="s">
        <v>753</v>
      </c>
      <c r="J523" s="5" t="s">
        <v>3094</v>
      </c>
    </row>
    <row r="524" customFormat="false" ht="75" hidden="false" customHeight="true" outlineLevel="0" collapsed="false">
      <c r="A524" s="5" t="s">
        <v>3095</v>
      </c>
      <c r="B524" s="5" t="s">
        <v>581</v>
      </c>
      <c r="C524" s="5" t="s">
        <v>3096</v>
      </c>
      <c r="D524" s="5" t="s">
        <v>749</v>
      </c>
      <c r="E524" s="5" t="s">
        <v>762</v>
      </c>
      <c r="F524" s="5" t="s">
        <v>3097</v>
      </c>
      <c r="G524" s="5" t="s">
        <v>3098</v>
      </c>
      <c r="H524" s="5" t="s">
        <v>178</v>
      </c>
      <c r="I524" s="5" t="s">
        <v>734</v>
      </c>
      <c r="J524" s="5" t="s">
        <v>1723</v>
      </c>
    </row>
    <row r="525" customFormat="false" ht="75" hidden="false" customHeight="true" outlineLevel="0" collapsed="false">
      <c r="A525" s="5" t="s">
        <v>3099</v>
      </c>
      <c r="B525" s="5" t="s">
        <v>581</v>
      </c>
      <c r="C525" s="5" t="s">
        <v>3100</v>
      </c>
      <c r="D525" s="5" t="s">
        <v>749</v>
      </c>
      <c r="E525" s="5" t="s">
        <v>782</v>
      </c>
      <c r="F525" s="5" t="s">
        <v>3101</v>
      </c>
      <c r="G525" s="5" t="s">
        <v>3102</v>
      </c>
      <c r="H525" s="5" t="s">
        <v>3103</v>
      </c>
      <c r="I525" s="5" t="s">
        <v>734</v>
      </c>
      <c r="J525" s="5" t="s">
        <v>3104</v>
      </c>
    </row>
    <row r="526" customFormat="false" ht="75" hidden="false" customHeight="true" outlineLevel="0" collapsed="false">
      <c r="A526" s="5" t="s">
        <v>3105</v>
      </c>
      <c r="B526" s="5" t="s">
        <v>581</v>
      </c>
      <c r="C526" s="5" t="s">
        <v>3106</v>
      </c>
      <c r="D526" s="5" t="s">
        <v>749</v>
      </c>
      <c r="E526" s="5" t="s">
        <v>782</v>
      </c>
      <c r="F526" s="5" t="s">
        <v>3107</v>
      </c>
      <c r="G526" s="5" t="s">
        <v>3108</v>
      </c>
      <c r="H526" s="5"/>
      <c r="I526" s="5" t="s">
        <v>734</v>
      </c>
      <c r="J526" s="5" t="s">
        <v>3109</v>
      </c>
    </row>
    <row r="527" customFormat="false" ht="75" hidden="false" customHeight="true" outlineLevel="0" collapsed="false">
      <c r="A527" s="5" t="s">
        <v>3110</v>
      </c>
      <c r="B527" s="5" t="s">
        <v>581</v>
      </c>
      <c r="C527" s="5" t="s">
        <v>3111</v>
      </c>
      <c r="D527" s="5" t="s">
        <v>749</v>
      </c>
      <c r="E527" s="5" t="s">
        <v>782</v>
      </c>
      <c r="F527" s="5" t="s">
        <v>3112</v>
      </c>
      <c r="G527" s="5" t="s">
        <v>3113</v>
      </c>
      <c r="H527" s="5"/>
      <c r="I527" s="5" t="s">
        <v>734</v>
      </c>
      <c r="J527" s="5" t="s">
        <v>908</v>
      </c>
    </row>
    <row r="528" customFormat="false" ht="75" hidden="false" customHeight="true" outlineLevel="0" collapsed="false">
      <c r="A528" s="5" t="s">
        <v>3114</v>
      </c>
      <c r="B528" s="5" t="s">
        <v>581</v>
      </c>
      <c r="C528" s="5" t="s">
        <v>3115</v>
      </c>
      <c r="D528" s="5" t="s">
        <v>749</v>
      </c>
      <c r="E528" s="5" t="s">
        <v>762</v>
      </c>
      <c r="F528" s="5" t="s">
        <v>3116</v>
      </c>
      <c r="G528" s="5" t="s">
        <v>3117</v>
      </c>
      <c r="H528" s="5"/>
      <c r="I528" s="5" t="s">
        <v>745</v>
      </c>
      <c r="J528" s="5" t="s">
        <v>765</v>
      </c>
    </row>
    <row r="529" customFormat="false" ht="75" hidden="false" customHeight="true" outlineLevel="0" collapsed="false">
      <c r="A529" s="5" t="s">
        <v>3118</v>
      </c>
      <c r="B529" s="5" t="s">
        <v>581</v>
      </c>
      <c r="C529" s="5" t="s">
        <v>3119</v>
      </c>
      <c r="D529" s="5" t="s">
        <v>729</v>
      </c>
      <c r="E529" s="5" t="s">
        <v>782</v>
      </c>
      <c r="F529" s="5" t="s">
        <v>3120</v>
      </c>
      <c r="G529" s="5" t="s">
        <v>3121</v>
      </c>
      <c r="H529" s="5"/>
      <c r="I529" s="5" t="s">
        <v>785</v>
      </c>
      <c r="J529" s="5" t="s">
        <v>3122</v>
      </c>
    </row>
    <row r="530" customFormat="false" ht="75" hidden="false" customHeight="true" outlineLevel="0" collapsed="false">
      <c r="A530" s="5" t="s">
        <v>3123</v>
      </c>
      <c r="B530" s="5" t="s">
        <v>581</v>
      </c>
      <c r="C530" s="5" t="s">
        <v>3124</v>
      </c>
      <c r="D530" s="5" t="s">
        <v>729</v>
      </c>
      <c r="E530" s="5" t="s">
        <v>730</v>
      </c>
      <c r="F530" s="5" t="s">
        <v>3125</v>
      </c>
      <c r="G530" s="5" t="s">
        <v>3126</v>
      </c>
      <c r="H530" s="5"/>
      <c r="I530" s="5" t="s">
        <v>745</v>
      </c>
      <c r="J530" s="5" t="s">
        <v>3127</v>
      </c>
    </row>
    <row r="531" customFormat="false" ht="75" hidden="false" customHeight="true" outlineLevel="0" collapsed="false">
      <c r="A531" s="5" t="s">
        <v>3128</v>
      </c>
      <c r="B531" s="5" t="s">
        <v>581</v>
      </c>
      <c r="C531" s="5" t="s">
        <v>3129</v>
      </c>
      <c r="D531" s="5" t="s">
        <v>729</v>
      </c>
      <c r="E531" s="5" t="s">
        <v>750</v>
      </c>
      <c r="F531" s="5" t="s">
        <v>3130</v>
      </c>
      <c r="G531" s="5" t="s">
        <v>3131</v>
      </c>
      <c r="H531" s="5"/>
      <c r="I531" s="5" t="s">
        <v>745</v>
      </c>
      <c r="J531" s="5" t="s">
        <v>3132</v>
      </c>
    </row>
    <row r="532" customFormat="false" ht="75" hidden="false" customHeight="true" outlineLevel="0" collapsed="false">
      <c r="A532" s="5" t="s">
        <v>3133</v>
      </c>
      <c r="B532" s="5" t="s">
        <v>581</v>
      </c>
      <c r="C532" s="5" t="s">
        <v>3134</v>
      </c>
      <c r="D532" s="5" t="s">
        <v>729</v>
      </c>
      <c r="E532" s="5" t="s">
        <v>730</v>
      </c>
      <c r="F532" s="5" t="s">
        <v>3135</v>
      </c>
      <c r="G532" s="5" t="s">
        <v>3136</v>
      </c>
      <c r="H532" s="5" t="s">
        <v>138</v>
      </c>
      <c r="I532" s="5" t="s">
        <v>753</v>
      </c>
      <c r="J532" s="5" t="s">
        <v>3137</v>
      </c>
    </row>
    <row r="533" customFormat="false" ht="75" hidden="false" customHeight="true" outlineLevel="0" collapsed="false">
      <c r="A533" s="5" t="s">
        <v>3138</v>
      </c>
      <c r="B533" s="5" t="s">
        <v>589</v>
      </c>
      <c r="C533" s="5" t="s">
        <v>3139</v>
      </c>
      <c r="D533" s="5" t="s">
        <v>729</v>
      </c>
      <c r="E533" s="5" t="s">
        <v>802</v>
      </c>
      <c r="F533" s="5" t="s">
        <v>3140</v>
      </c>
      <c r="G533" s="5" t="s">
        <v>3141</v>
      </c>
      <c r="H533" s="5" t="s">
        <v>130</v>
      </c>
      <c r="I533" s="5" t="s">
        <v>734</v>
      </c>
      <c r="J533" s="5" t="s">
        <v>3142</v>
      </c>
    </row>
    <row r="534" customFormat="false" ht="75" hidden="false" customHeight="true" outlineLevel="0" collapsed="false">
      <c r="A534" s="5" t="s">
        <v>3143</v>
      </c>
      <c r="B534" s="5" t="s">
        <v>589</v>
      </c>
      <c r="C534" s="5" t="s">
        <v>3144</v>
      </c>
      <c r="D534" s="5" t="s">
        <v>729</v>
      </c>
      <c r="E534" s="5" t="s">
        <v>802</v>
      </c>
      <c r="F534" s="5" t="s">
        <v>3145</v>
      </c>
      <c r="G534" s="5" t="s">
        <v>3146</v>
      </c>
      <c r="H534" s="5"/>
      <c r="I534" s="5" t="s">
        <v>745</v>
      </c>
      <c r="J534" s="5" t="s">
        <v>3147</v>
      </c>
    </row>
    <row r="535" customFormat="false" ht="75" hidden="false" customHeight="true" outlineLevel="0" collapsed="false">
      <c r="A535" s="5" t="s">
        <v>3148</v>
      </c>
      <c r="B535" s="5" t="s">
        <v>589</v>
      </c>
      <c r="C535" s="5" t="s">
        <v>3149</v>
      </c>
      <c r="D535" s="5" t="s">
        <v>729</v>
      </c>
      <c r="E535" s="5" t="s">
        <v>802</v>
      </c>
      <c r="F535" s="5" t="s">
        <v>3150</v>
      </c>
      <c r="G535" s="5" t="s">
        <v>593</v>
      </c>
      <c r="H535" s="5"/>
      <c r="I535" s="5" t="s">
        <v>734</v>
      </c>
      <c r="J535" s="5" t="s">
        <v>3151</v>
      </c>
    </row>
    <row r="536" customFormat="false" ht="75" hidden="false" customHeight="true" outlineLevel="0" collapsed="false">
      <c r="A536" s="5" t="s">
        <v>3152</v>
      </c>
      <c r="B536" s="5" t="s">
        <v>589</v>
      </c>
      <c r="C536" s="5" t="s">
        <v>1470</v>
      </c>
      <c r="D536" s="5" t="s">
        <v>772</v>
      </c>
      <c r="E536" s="5" t="s">
        <v>730</v>
      </c>
      <c r="F536" s="5" t="s">
        <v>3153</v>
      </c>
      <c r="G536" s="5" t="s">
        <v>3154</v>
      </c>
      <c r="H536" s="5"/>
      <c r="I536" s="5" t="s">
        <v>734</v>
      </c>
      <c r="J536" s="5" t="s">
        <v>973</v>
      </c>
    </row>
    <row r="537" customFormat="false" ht="75" hidden="false" customHeight="true" outlineLevel="0" collapsed="false">
      <c r="A537" s="5" t="s">
        <v>3155</v>
      </c>
      <c r="B537" s="5" t="s">
        <v>589</v>
      </c>
      <c r="C537" s="5" t="s">
        <v>3156</v>
      </c>
      <c r="D537" s="5" t="s">
        <v>749</v>
      </c>
      <c r="E537" s="5" t="s">
        <v>789</v>
      </c>
      <c r="F537" s="5" t="s">
        <v>3157</v>
      </c>
      <c r="G537" s="5" t="s">
        <v>3158</v>
      </c>
      <c r="H537" s="5" t="s">
        <v>194</v>
      </c>
      <c r="I537" s="5" t="s">
        <v>753</v>
      </c>
      <c r="J537" s="5" t="s">
        <v>3159</v>
      </c>
    </row>
    <row r="538" customFormat="false" ht="75" hidden="false" customHeight="true" outlineLevel="0" collapsed="false">
      <c r="A538" s="5" t="s">
        <v>3160</v>
      </c>
      <c r="B538" s="5" t="s">
        <v>589</v>
      </c>
      <c r="C538" s="5" t="s">
        <v>3161</v>
      </c>
      <c r="D538" s="5" t="s">
        <v>772</v>
      </c>
      <c r="E538" s="5" t="s">
        <v>782</v>
      </c>
      <c r="F538" s="5" t="s">
        <v>3162</v>
      </c>
      <c r="G538" s="5" t="s">
        <v>3158</v>
      </c>
      <c r="H538" s="5" t="s">
        <v>186</v>
      </c>
      <c r="I538" s="5" t="s">
        <v>753</v>
      </c>
      <c r="J538" s="5" t="s">
        <v>3163</v>
      </c>
    </row>
    <row r="539" customFormat="false" ht="75" hidden="false" customHeight="true" outlineLevel="0" collapsed="false">
      <c r="A539" s="5" t="s">
        <v>3164</v>
      </c>
      <c r="B539" s="5" t="s">
        <v>589</v>
      </c>
      <c r="C539" s="5" t="s">
        <v>1998</v>
      </c>
      <c r="D539" s="5" t="s">
        <v>772</v>
      </c>
      <c r="E539" s="5" t="s">
        <v>888</v>
      </c>
      <c r="F539" s="5" t="s">
        <v>3165</v>
      </c>
      <c r="G539" s="5" t="s">
        <v>3158</v>
      </c>
      <c r="H539" s="5"/>
      <c r="I539" s="5" t="s">
        <v>745</v>
      </c>
      <c r="J539" s="5" t="s">
        <v>2001</v>
      </c>
    </row>
    <row r="540" customFormat="false" ht="75" hidden="false" customHeight="true" outlineLevel="0" collapsed="false">
      <c r="A540" s="5" t="s">
        <v>3166</v>
      </c>
      <c r="B540" s="5" t="s">
        <v>589</v>
      </c>
      <c r="C540" s="5" t="s">
        <v>3167</v>
      </c>
      <c r="D540" s="5" t="s">
        <v>772</v>
      </c>
      <c r="E540" s="5" t="s">
        <v>888</v>
      </c>
      <c r="F540" s="5" t="s">
        <v>3168</v>
      </c>
      <c r="G540" s="5" t="s">
        <v>3158</v>
      </c>
      <c r="H540" s="5"/>
      <c r="I540" s="5" t="s">
        <v>745</v>
      </c>
      <c r="J540" s="5" t="s">
        <v>2150</v>
      </c>
    </row>
    <row r="541" customFormat="false" ht="75" hidden="false" customHeight="true" outlineLevel="0" collapsed="false">
      <c r="A541" s="5" t="s">
        <v>3169</v>
      </c>
      <c r="B541" s="5" t="s">
        <v>589</v>
      </c>
      <c r="C541" s="5" t="s">
        <v>3170</v>
      </c>
      <c r="D541" s="5" t="s">
        <v>729</v>
      </c>
      <c r="E541" s="5" t="s">
        <v>802</v>
      </c>
      <c r="F541" s="5" t="s">
        <v>3171</v>
      </c>
      <c r="G541" s="5" t="s">
        <v>593</v>
      </c>
      <c r="H541" s="5"/>
      <c r="I541" s="5" t="s">
        <v>734</v>
      </c>
      <c r="J541" s="5" t="s">
        <v>3172</v>
      </c>
    </row>
    <row r="542" customFormat="false" ht="75" hidden="false" customHeight="true" outlineLevel="0" collapsed="false">
      <c r="A542" s="5" t="s">
        <v>3173</v>
      </c>
      <c r="B542" s="5" t="s">
        <v>589</v>
      </c>
      <c r="C542" s="5" t="s">
        <v>3174</v>
      </c>
      <c r="D542" s="5" t="s">
        <v>772</v>
      </c>
      <c r="E542" s="5" t="s">
        <v>762</v>
      </c>
      <c r="F542" s="5" t="s">
        <v>3175</v>
      </c>
      <c r="G542" s="5" t="s">
        <v>3158</v>
      </c>
      <c r="H542" s="5"/>
      <c r="I542" s="5" t="s">
        <v>745</v>
      </c>
      <c r="J542" s="5" t="s">
        <v>765</v>
      </c>
    </row>
    <row r="543" customFormat="false" ht="75" hidden="false" customHeight="true" outlineLevel="0" collapsed="false">
      <c r="A543" s="5" t="s">
        <v>3176</v>
      </c>
      <c r="B543" s="5" t="s">
        <v>589</v>
      </c>
      <c r="C543" s="5" t="s">
        <v>3177</v>
      </c>
      <c r="D543" s="5" t="s">
        <v>749</v>
      </c>
      <c r="E543" s="5" t="s">
        <v>750</v>
      </c>
      <c r="F543" s="5" t="s">
        <v>3178</v>
      </c>
      <c r="G543" s="5" t="s">
        <v>3179</v>
      </c>
      <c r="H543" s="5" t="s">
        <v>3180</v>
      </c>
      <c r="I543" s="5" t="s">
        <v>734</v>
      </c>
      <c r="J543" s="5" t="s">
        <v>3181</v>
      </c>
    </row>
    <row r="544" customFormat="false" ht="75" hidden="false" customHeight="true" outlineLevel="0" collapsed="false">
      <c r="A544" s="5" t="s">
        <v>3182</v>
      </c>
      <c r="B544" s="5" t="s">
        <v>598</v>
      </c>
      <c r="C544" s="5" t="s">
        <v>3183</v>
      </c>
      <c r="D544" s="5" t="s">
        <v>749</v>
      </c>
      <c r="E544" s="5" t="s">
        <v>730</v>
      </c>
      <c r="F544" s="5" t="s">
        <v>3184</v>
      </c>
      <c r="G544" s="5" t="s">
        <v>3185</v>
      </c>
      <c r="H544" s="5"/>
      <c r="I544" s="5" t="s">
        <v>734</v>
      </c>
      <c r="J544" s="5" t="s">
        <v>3186</v>
      </c>
    </row>
    <row r="545" customFormat="false" ht="75" hidden="false" customHeight="true" outlineLevel="0" collapsed="false">
      <c r="A545" s="5" t="s">
        <v>3187</v>
      </c>
      <c r="B545" s="5" t="s">
        <v>598</v>
      </c>
      <c r="C545" s="5" t="s">
        <v>3188</v>
      </c>
      <c r="D545" s="5" t="s">
        <v>749</v>
      </c>
      <c r="E545" s="5" t="s">
        <v>730</v>
      </c>
      <c r="F545" s="5" t="s">
        <v>3189</v>
      </c>
      <c r="G545" s="5" t="s">
        <v>3190</v>
      </c>
      <c r="H545" s="5"/>
      <c r="I545" s="5" t="s">
        <v>745</v>
      </c>
      <c r="J545" s="5" t="s">
        <v>3191</v>
      </c>
    </row>
    <row r="546" customFormat="false" ht="75" hidden="false" customHeight="true" outlineLevel="0" collapsed="false">
      <c r="A546" s="5" t="s">
        <v>3192</v>
      </c>
      <c r="B546" s="5" t="s">
        <v>598</v>
      </c>
      <c r="C546" s="5" t="s">
        <v>3193</v>
      </c>
      <c r="D546" s="5" t="s">
        <v>729</v>
      </c>
      <c r="E546" s="5" t="s">
        <v>730</v>
      </c>
      <c r="F546" s="5" t="s">
        <v>3194</v>
      </c>
      <c r="G546" s="5" t="s">
        <v>3195</v>
      </c>
      <c r="H546" s="5" t="s">
        <v>130</v>
      </c>
      <c r="I546" s="5" t="s">
        <v>745</v>
      </c>
      <c r="J546" s="5" t="s">
        <v>3196</v>
      </c>
    </row>
    <row r="547" customFormat="false" ht="75" hidden="false" customHeight="true" outlineLevel="0" collapsed="false">
      <c r="A547" s="5" t="s">
        <v>3197</v>
      </c>
      <c r="B547" s="5" t="s">
        <v>598</v>
      </c>
      <c r="C547" s="5" t="s">
        <v>3198</v>
      </c>
      <c r="D547" s="5" t="s">
        <v>729</v>
      </c>
      <c r="E547" s="5" t="s">
        <v>730</v>
      </c>
      <c r="F547" s="5" t="s">
        <v>3199</v>
      </c>
      <c r="G547" s="5" t="s">
        <v>3200</v>
      </c>
      <c r="H547" s="5"/>
      <c r="I547" s="5" t="s">
        <v>745</v>
      </c>
      <c r="J547" s="5" t="s">
        <v>3201</v>
      </c>
    </row>
    <row r="548" customFormat="false" ht="75" hidden="false" customHeight="true" outlineLevel="0" collapsed="false">
      <c r="A548" s="5" t="s">
        <v>3202</v>
      </c>
      <c r="B548" s="5" t="s">
        <v>598</v>
      </c>
      <c r="C548" s="5" t="s">
        <v>3203</v>
      </c>
      <c r="D548" s="5" t="s">
        <v>749</v>
      </c>
      <c r="E548" s="5" t="s">
        <v>782</v>
      </c>
      <c r="F548" s="5" t="s">
        <v>3204</v>
      </c>
      <c r="G548" s="5" t="s">
        <v>3205</v>
      </c>
      <c r="H548" s="5" t="s">
        <v>23</v>
      </c>
      <c r="I548" s="5" t="s">
        <v>734</v>
      </c>
      <c r="J548" s="5" t="s">
        <v>3206</v>
      </c>
    </row>
    <row r="549" customFormat="false" ht="75" hidden="false" customHeight="true" outlineLevel="0" collapsed="false">
      <c r="A549" s="5" t="s">
        <v>3207</v>
      </c>
      <c r="B549" s="5" t="s">
        <v>598</v>
      </c>
      <c r="C549" s="5" t="s">
        <v>3208</v>
      </c>
      <c r="D549" s="5" t="s">
        <v>749</v>
      </c>
      <c r="E549" s="5" t="s">
        <v>782</v>
      </c>
      <c r="F549" s="5" t="s">
        <v>3209</v>
      </c>
      <c r="G549" s="5" t="s">
        <v>3205</v>
      </c>
      <c r="H549" s="5"/>
      <c r="I549" s="5" t="s">
        <v>734</v>
      </c>
      <c r="J549" s="5" t="s">
        <v>3210</v>
      </c>
    </row>
    <row r="550" customFormat="false" ht="75" hidden="false" customHeight="true" outlineLevel="0" collapsed="false">
      <c r="A550" s="5" t="s">
        <v>3211</v>
      </c>
      <c r="B550" s="5" t="s">
        <v>598</v>
      </c>
      <c r="C550" s="5" t="s">
        <v>3212</v>
      </c>
      <c r="D550" s="5" t="s">
        <v>772</v>
      </c>
      <c r="E550" s="5" t="s">
        <v>782</v>
      </c>
      <c r="F550" s="5" t="s">
        <v>3213</v>
      </c>
      <c r="G550" s="5" t="s">
        <v>3205</v>
      </c>
      <c r="H550" s="5" t="s">
        <v>3214</v>
      </c>
      <c r="I550" s="5" t="s">
        <v>734</v>
      </c>
      <c r="J550" s="5" t="s">
        <v>3215</v>
      </c>
    </row>
    <row r="551" customFormat="false" ht="75" hidden="false" customHeight="true" outlineLevel="0" collapsed="false">
      <c r="A551" s="5" t="s">
        <v>3216</v>
      </c>
      <c r="B551" s="5" t="s">
        <v>598</v>
      </c>
      <c r="C551" s="5" t="s">
        <v>3217</v>
      </c>
      <c r="D551" s="5" t="s">
        <v>772</v>
      </c>
      <c r="E551" s="5" t="s">
        <v>888</v>
      </c>
      <c r="F551" s="5" t="s">
        <v>3218</v>
      </c>
      <c r="G551" s="5" t="s">
        <v>3205</v>
      </c>
      <c r="H551" s="5" t="s">
        <v>114</v>
      </c>
      <c r="I551" s="5" t="s">
        <v>745</v>
      </c>
      <c r="J551" s="5" t="s">
        <v>3219</v>
      </c>
    </row>
    <row r="552" customFormat="false" ht="75" hidden="false" customHeight="true" outlineLevel="0" collapsed="false">
      <c r="A552" s="5" t="s">
        <v>3220</v>
      </c>
      <c r="B552" s="5" t="s">
        <v>598</v>
      </c>
      <c r="C552" s="5" t="s">
        <v>3221</v>
      </c>
      <c r="D552" s="5" t="s">
        <v>749</v>
      </c>
      <c r="E552" s="5" t="s">
        <v>789</v>
      </c>
      <c r="F552" s="5" t="s">
        <v>3222</v>
      </c>
      <c r="G552" s="5" t="s">
        <v>3223</v>
      </c>
      <c r="H552" s="5" t="s">
        <v>194</v>
      </c>
      <c r="I552" s="5" t="s">
        <v>753</v>
      </c>
      <c r="J552" s="5" t="s">
        <v>3224</v>
      </c>
    </row>
    <row r="553" customFormat="false" ht="75" hidden="false" customHeight="true" outlineLevel="0" collapsed="false">
      <c r="A553" s="5" t="s">
        <v>3225</v>
      </c>
      <c r="B553" s="5" t="s">
        <v>598</v>
      </c>
      <c r="C553" s="5" t="s">
        <v>3226</v>
      </c>
      <c r="D553" s="5" t="s">
        <v>749</v>
      </c>
      <c r="E553" s="5" t="s">
        <v>789</v>
      </c>
      <c r="F553" s="5" t="s">
        <v>3227</v>
      </c>
      <c r="G553" s="5" t="s">
        <v>3228</v>
      </c>
      <c r="H553" s="5" t="s">
        <v>90</v>
      </c>
      <c r="I553" s="5" t="s">
        <v>753</v>
      </c>
      <c r="J553" s="5" t="s">
        <v>3229</v>
      </c>
    </row>
    <row r="554" customFormat="false" ht="75" hidden="false" customHeight="true" outlineLevel="0" collapsed="false">
      <c r="A554" s="5" t="s">
        <v>3230</v>
      </c>
      <c r="B554" s="5" t="s">
        <v>598</v>
      </c>
      <c r="C554" s="5" t="s">
        <v>3231</v>
      </c>
      <c r="D554" s="5" t="s">
        <v>749</v>
      </c>
      <c r="E554" s="5" t="s">
        <v>789</v>
      </c>
      <c r="F554" s="5" t="s">
        <v>3232</v>
      </c>
      <c r="G554" s="5" t="s">
        <v>3205</v>
      </c>
      <c r="H554" s="5"/>
      <c r="I554" s="5" t="s">
        <v>753</v>
      </c>
      <c r="J554" s="5" t="s">
        <v>3233</v>
      </c>
    </row>
    <row r="555" customFormat="false" ht="75" hidden="false" customHeight="true" outlineLevel="0" collapsed="false">
      <c r="A555" s="5" t="s">
        <v>3234</v>
      </c>
      <c r="B555" s="5" t="s">
        <v>598</v>
      </c>
      <c r="C555" s="5" t="s">
        <v>3235</v>
      </c>
      <c r="D555" s="5" t="s">
        <v>749</v>
      </c>
      <c r="E555" s="5" t="s">
        <v>782</v>
      </c>
      <c r="F555" s="5" t="s">
        <v>3236</v>
      </c>
      <c r="G555" s="5" t="s">
        <v>3237</v>
      </c>
      <c r="H555" s="5"/>
      <c r="I555" s="5" t="s">
        <v>745</v>
      </c>
      <c r="J555" s="5" t="s">
        <v>765</v>
      </c>
    </row>
    <row r="556" customFormat="false" ht="75" hidden="false" customHeight="true" outlineLevel="0" collapsed="false">
      <c r="A556" s="5" t="s">
        <v>3238</v>
      </c>
      <c r="B556" s="5" t="s">
        <v>598</v>
      </c>
      <c r="C556" s="5" t="s">
        <v>3239</v>
      </c>
      <c r="D556" s="5" t="s">
        <v>749</v>
      </c>
      <c r="E556" s="5" t="s">
        <v>762</v>
      </c>
      <c r="F556" s="5" t="s">
        <v>3240</v>
      </c>
      <c r="G556" s="5" t="s">
        <v>3241</v>
      </c>
      <c r="H556" s="5" t="s">
        <v>178</v>
      </c>
      <c r="I556" s="5" t="s">
        <v>745</v>
      </c>
      <c r="J556" s="5" t="s">
        <v>765</v>
      </c>
    </row>
    <row r="557" customFormat="false" ht="75" hidden="false" customHeight="true" outlineLevel="0" collapsed="false">
      <c r="A557" s="5" t="s">
        <v>3242</v>
      </c>
      <c r="B557" s="5" t="s">
        <v>598</v>
      </c>
      <c r="C557" s="5" t="s">
        <v>3243</v>
      </c>
      <c r="D557" s="5" t="s">
        <v>749</v>
      </c>
      <c r="E557" s="5" t="s">
        <v>782</v>
      </c>
      <c r="F557" s="5" t="s">
        <v>3244</v>
      </c>
      <c r="G557" s="5" t="s">
        <v>3245</v>
      </c>
      <c r="H557" s="5"/>
      <c r="I557" s="5" t="s">
        <v>745</v>
      </c>
      <c r="J557" s="5" t="s">
        <v>3246</v>
      </c>
    </row>
    <row r="558" customFormat="false" ht="75" hidden="false" customHeight="true" outlineLevel="0" collapsed="false">
      <c r="A558" s="5" t="s">
        <v>3247</v>
      </c>
      <c r="B558" s="5" t="s">
        <v>598</v>
      </c>
      <c r="C558" s="5" t="s">
        <v>3248</v>
      </c>
      <c r="D558" s="5" t="s">
        <v>772</v>
      </c>
      <c r="E558" s="5" t="s">
        <v>782</v>
      </c>
      <c r="F558" s="5" t="s">
        <v>3249</v>
      </c>
      <c r="G558" s="5" t="s">
        <v>3205</v>
      </c>
      <c r="H558" s="5"/>
      <c r="I558" s="5" t="s">
        <v>745</v>
      </c>
      <c r="J558" s="5" t="s">
        <v>1359</v>
      </c>
    </row>
    <row r="559" customFormat="false" ht="75" hidden="false" customHeight="true" outlineLevel="0" collapsed="false">
      <c r="A559" s="5" t="s">
        <v>3250</v>
      </c>
      <c r="B559" s="5" t="s">
        <v>598</v>
      </c>
      <c r="C559" s="5" t="s">
        <v>3251</v>
      </c>
      <c r="D559" s="5" t="s">
        <v>772</v>
      </c>
      <c r="E559" s="5" t="s">
        <v>782</v>
      </c>
      <c r="F559" s="5" t="s">
        <v>3252</v>
      </c>
      <c r="G559" s="5" t="s">
        <v>3205</v>
      </c>
      <c r="H559" s="5"/>
      <c r="I559" s="5" t="s">
        <v>785</v>
      </c>
      <c r="J559" s="5" t="s">
        <v>3253</v>
      </c>
    </row>
    <row r="560" customFormat="false" ht="75" hidden="false" customHeight="true" outlineLevel="0" collapsed="false">
      <c r="A560" s="5" t="s">
        <v>3254</v>
      </c>
      <c r="B560" s="5" t="s">
        <v>598</v>
      </c>
      <c r="C560" s="5" t="s">
        <v>3255</v>
      </c>
      <c r="D560" s="5" t="s">
        <v>729</v>
      </c>
      <c r="E560" s="5" t="s">
        <v>888</v>
      </c>
      <c r="F560" s="5" t="s">
        <v>3256</v>
      </c>
      <c r="G560" s="5" t="s">
        <v>3257</v>
      </c>
      <c r="H560" s="5"/>
      <c r="I560" s="5" t="s">
        <v>745</v>
      </c>
      <c r="J560" s="5" t="s">
        <v>3258</v>
      </c>
    </row>
    <row r="561" customFormat="false" ht="75" hidden="false" customHeight="true" outlineLevel="0" collapsed="false">
      <c r="A561" s="5" t="s">
        <v>3259</v>
      </c>
      <c r="B561" s="5" t="s">
        <v>598</v>
      </c>
      <c r="C561" s="5" t="s">
        <v>3260</v>
      </c>
      <c r="D561" s="5" t="s">
        <v>772</v>
      </c>
      <c r="E561" s="5" t="s">
        <v>782</v>
      </c>
      <c r="F561" s="5" t="s">
        <v>3261</v>
      </c>
      <c r="G561" s="5" t="s">
        <v>3205</v>
      </c>
      <c r="H561" s="5"/>
      <c r="I561" s="5" t="s">
        <v>785</v>
      </c>
      <c r="J561" s="5" t="s">
        <v>3262</v>
      </c>
    </row>
    <row r="562" customFormat="false" ht="75" hidden="false" customHeight="true" outlineLevel="0" collapsed="false">
      <c r="A562" s="5" t="s">
        <v>3263</v>
      </c>
      <c r="B562" s="5" t="s">
        <v>598</v>
      </c>
      <c r="C562" s="5" t="s">
        <v>3264</v>
      </c>
      <c r="D562" s="5" t="s">
        <v>729</v>
      </c>
      <c r="E562" s="5" t="s">
        <v>750</v>
      </c>
      <c r="F562" s="5" t="s">
        <v>3265</v>
      </c>
      <c r="G562" s="5" t="s">
        <v>3266</v>
      </c>
      <c r="H562" s="5"/>
      <c r="I562" s="5" t="s">
        <v>785</v>
      </c>
      <c r="J562" s="5" t="s">
        <v>3267</v>
      </c>
    </row>
    <row r="563" customFormat="false" ht="75" hidden="false" customHeight="true" outlineLevel="0" collapsed="false">
      <c r="A563" s="5" t="s">
        <v>3268</v>
      </c>
      <c r="B563" s="5" t="s">
        <v>598</v>
      </c>
      <c r="C563" s="5" t="s">
        <v>3269</v>
      </c>
      <c r="D563" s="5" t="s">
        <v>772</v>
      </c>
      <c r="E563" s="5" t="s">
        <v>762</v>
      </c>
      <c r="F563" s="5" t="s">
        <v>3270</v>
      </c>
      <c r="G563" s="5" t="s">
        <v>3205</v>
      </c>
      <c r="H563" s="5"/>
      <c r="I563" s="5" t="s">
        <v>734</v>
      </c>
      <c r="J563" s="5" t="s">
        <v>3271</v>
      </c>
    </row>
    <row r="564" customFormat="false" ht="75" hidden="false" customHeight="true" outlineLevel="0" collapsed="false">
      <c r="A564" s="5" t="s">
        <v>3272</v>
      </c>
      <c r="B564" s="5" t="s">
        <v>606</v>
      </c>
      <c r="C564" s="5" t="s">
        <v>3273</v>
      </c>
      <c r="D564" s="5" t="s">
        <v>749</v>
      </c>
      <c r="E564" s="5" t="s">
        <v>730</v>
      </c>
      <c r="F564" s="5" t="s">
        <v>3274</v>
      </c>
      <c r="G564" s="5" t="s">
        <v>3275</v>
      </c>
      <c r="H564" s="5"/>
      <c r="I564" s="5" t="s">
        <v>734</v>
      </c>
      <c r="J564" s="5" t="s">
        <v>973</v>
      </c>
    </row>
    <row r="565" customFormat="false" ht="75" hidden="false" customHeight="true" outlineLevel="0" collapsed="false">
      <c r="A565" s="5" t="s">
        <v>3276</v>
      </c>
      <c r="B565" s="5" t="s">
        <v>606</v>
      </c>
      <c r="C565" s="5" t="s">
        <v>3277</v>
      </c>
      <c r="D565" s="5" t="s">
        <v>749</v>
      </c>
      <c r="E565" s="5" t="s">
        <v>730</v>
      </c>
      <c r="F565" s="5" t="s">
        <v>3278</v>
      </c>
      <c r="G565" s="5" t="s">
        <v>3279</v>
      </c>
      <c r="H565" s="5"/>
      <c r="I565" s="5" t="s">
        <v>745</v>
      </c>
      <c r="J565" s="5" t="s">
        <v>942</v>
      </c>
    </row>
    <row r="566" customFormat="false" ht="75" hidden="false" customHeight="true" outlineLevel="0" collapsed="false">
      <c r="A566" s="5" t="s">
        <v>3280</v>
      </c>
      <c r="B566" s="5" t="s">
        <v>606</v>
      </c>
      <c r="C566" s="5" t="s">
        <v>3281</v>
      </c>
      <c r="D566" s="5" t="s">
        <v>729</v>
      </c>
      <c r="E566" s="5" t="s">
        <v>730</v>
      </c>
      <c r="F566" s="5" t="s">
        <v>3282</v>
      </c>
      <c r="G566" s="5" t="s">
        <v>3283</v>
      </c>
      <c r="H566" s="5"/>
      <c r="I566" s="5" t="s">
        <v>745</v>
      </c>
      <c r="J566" s="5" t="s">
        <v>3284</v>
      </c>
    </row>
    <row r="567" customFormat="false" ht="75" hidden="false" customHeight="true" outlineLevel="0" collapsed="false">
      <c r="A567" s="5" t="s">
        <v>3285</v>
      </c>
      <c r="B567" s="5" t="s">
        <v>606</v>
      </c>
      <c r="C567" s="5" t="s">
        <v>3286</v>
      </c>
      <c r="D567" s="5" t="s">
        <v>729</v>
      </c>
      <c r="E567" s="5" t="s">
        <v>924</v>
      </c>
      <c r="F567" s="5" t="s">
        <v>3287</v>
      </c>
      <c r="G567" s="5" t="s">
        <v>3288</v>
      </c>
      <c r="H567" s="5" t="s">
        <v>3289</v>
      </c>
      <c r="I567" s="5" t="s">
        <v>753</v>
      </c>
      <c r="J567" s="5" t="s">
        <v>3290</v>
      </c>
    </row>
    <row r="568" customFormat="false" ht="75" hidden="false" customHeight="true" outlineLevel="0" collapsed="false">
      <c r="A568" s="5" t="s">
        <v>3291</v>
      </c>
      <c r="B568" s="5" t="s">
        <v>606</v>
      </c>
      <c r="C568" s="5" t="s">
        <v>3292</v>
      </c>
      <c r="D568" s="5" t="s">
        <v>749</v>
      </c>
      <c r="E568" s="5" t="s">
        <v>782</v>
      </c>
      <c r="F568" s="5" t="s">
        <v>3293</v>
      </c>
      <c r="G568" s="5" t="s">
        <v>3294</v>
      </c>
      <c r="H568" s="5"/>
      <c r="I568" s="5" t="s">
        <v>734</v>
      </c>
      <c r="J568" s="5" t="s">
        <v>3295</v>
      </c>
    </row>
    <row r="569" customFormat="false" ht="75" hidden="false" customHeight="true" outlineLevel="0" collapsed="false">
      <c r="A569" s="5" t="s">
        <v>3296</v>
      </c>
      <c r="B569" s="5" t="s">
        <v>606</v>
      </c>
      <c r="C569" s="5" t="s">
        <v>3297</v>
      </c>
      <c r="D569" s="5" t="s">
        <v>749</v>
      </c>
      <c r="E569" s="5" t="s">
        <v>782</v>
      </c>
      <c r="F569" s="5" t="s">
        <v>3298</v>
      </c>
      <c r="G569" s="5" t="s">
        <v>3294</v>
      </c>
      <c r="H569" s="5" t="s">
        <v>1833</v>
      </c>
      <c r="I569" s="5" t="s">
        <v>734</v>
      </c>
      <c r="J569" s="5" t="s">
        <v>3299</v>
      </c>
    </row>
    <row r="570" customFormat="false" ht="75" hidden="false" customHeight="true" outlineLevel="0" collapsed="false">
      <c r="A570" s="5" t="s">
        <v>3300</v>
      </c>
      <c r="B570" s="5" t="s">
        <v>606</v>
      </c>
      <c r="C570" s="5" t="s">
        <v>3301</v>
      </c>
      <c r="D570" s="5" t="s">
        <v>749</v>
      </c>
      <c r="E570" s="5" t="s">
        <v>782</v>
      </c>
      <c r="F570" s="5" t="s">
        <v>3302</v>
      </c>
      <c r="G570" s="5" t="s">
        <v>3294</v>
      </c>
      <c r="H570" s="5"/>
      <c r="I570" s="5" t="s">
        <v>734</v>
      </c>
      <c r="J570" s="5" t="s">
        <v>1095</v>
      </c>
    </row>
    <row r="571" customFormat="false" ht="75" hidden="false" customHeight="true" outlineLevel="0" collapsed="false">
      <c r="A571" s="5" t="s">
        <v>3303</v>
      </c>
      <c r="B571" s="5" t="s">
        <v>606</v>
      </c>
      <c r="C571" s="5" t="s">
        <v>3304</v>
      </c>
      <c r="D571" s="5" t="s">
        <v>749</v>
      </c>
      <c r="E571" s="5" t="s">
        <v>782</v>
      </c>
      <c r="F571" s="5" t="s">
        <v>3305</v>
      </c>
      <c r="G571" s="5" t="s">
        <v>3294</v>
      </c>
      <c r="H571" s="5" t="s">
        <v>250</v>
      </c>
      <c r="I571" s="5" t="s">
        <v>734</v>
      </c>
      <c r="J571" s="5" t="s">
        <v>862</v>
      </c>
    </row>
    <row r="572" customFormat="false" ht="75" hidden="false" customHeight="true" outlineLevel="0" collapsed="false">
      <c r="A572" s="5" t="s">
        <v>3306</v>
      </c>
      <c r="B572" s="5" t="s">
        <v>606</v>
      </c>
      <c r="C572" s="5" t="s">
        <v>3307</v>
      </c>
      <c r="D572" s="5" t="s">
        <v>772</v>
      </c>
      <c r="E572" s="5" t="s">
        <v>782</v>
      </c>
      <c r="F572" s="5" t="s">
        <v>3308</v>
      </c>
      <c r="G572" s="5" t="s">
        <v>3294</v>
      </c>
      <c r="H572" s="5"/>
      <c r="I572" s="5" t="s">
        <v>745</v>
      </c>
      <c r="J572" s="5" t="s">
        <v>3309</v>
      </c>
    </row>
    <row r="573" customFormat="false" ht="75" hidden="false" customHeight="true" outlineLevel="0" collapsed="false">
      <c r="A573" s="5" t="s">
        <v>3310</v>
      </c>
      <c r="B573" s="5" t="s">
        <v>606</v>
      </c>
      <c r="C573" s="5" t="s">
        <v>3311</v>
      </c>
      <c r="D573" s="5" t="s">
        <v>772</v>
      </c>
      <c r="E573" s="5" t="s">
        <v>888</v>
      </c>
      <c r="F573" s="5" t="s">
        <v>3312</v>
      </c>
      <c r="G573" s="5" t="s">
        <v>3294</v>
      </c>
      <c r="H573" s="5" t="s">
        <v>114</v>
      </c>
      <c r="I573" s="5" t="s">
        <v>745</v>
      </c>
      <c r="J573" s="5" t="s">
        <v>2203</v>
      </c>
    </row>
    <row r="574" customFormat="false" ht="75" hidden="false" customHeight="true" outlineLevel="0" collapsed="false">
      <c r="A574" s="5" t="s">
        <v>3313</v>
      </c>
      <c r="B574" s="5" t="s">
        <v>606</v>
      </c>
      <c r="C574" s="5" t="s">
        <v>3314</v>
      </c>
      <c r="D574" s="5" t="s">
        <v>749</v>
      </c>
      <c r="E574" s="5" t="s">
        <v>762</v>
      </c>
      <c r="F574" s="5" t="s">
        <v>3315</v>
      </c>
      <c r="G574" s="5" t="s">
        <v>3316</v>
      </c>
      <c r="H574" s="5"/>
      <c r="I574" s="5" t="s">
        <v>745</v>
      </c>
      <c r="J574" s="5" t="s">
        <v>765</v>
      </c>
    </row>
    <row r="575" customFormat="false" ht="75" hidden="false" customHeight="true" outlineLevel="0" collapsed="false">
      <c r="A575" s="5" t="s">
        <v>3317</v>
      </c>
      <c r="B575" s="5" t="s">
        <v>606</v>
      </c>
      <c r="C575" s="5" t="s">
        <v>3318</v>
      </c>
      <c r="D575" s="5" t="s">
        <v>749</v>
      </c>
      <c r="E575" s="5" t="s">
        <v>762</v>
      </c>
      <c r="F575" s="5" t="s">
        <v>3319</v>
      </c>
      <c r="G575" s="5" t="s">
        <v>3316</v>
      </c>
      <c r="H575" s="5" t="s">
        <v>178</v>
      </c>
      <c r="I575" s="5" t="s">
        <v>734</v>
      </c>
      <c r="J575" s="5" t="s">
        <v>3320</v>
      </c>
    </row>
    <row r="576" customFormat="false" ht="75" hidden="false" customHeight="true" outlineLevel="0" collapsed="false">
      <c r="A576" s="5" t="s">
        <v>3321</v>
      </c>
      <c r="B576" s="5" t="s">
        <v>606</v>
      </c>
      <c r="C576" s="5" t="s">
        <v>3322</v>
      </c>
      <c r="D576" s="5" t="s">
        <v>772</v>
      </c>
      <c r="E576" s="5" t="s">
        <v>762</v>
      </c>
      <c r="F576" s="5" t="s">
        <v>3323</v>
      </c>
      <c r="G576" s="5" t="s">
        <v>3316</v>
      </c>
      <c r="H576" s="5"/>
      <c r="I576" s="5" t="s">
        <v>745</v>
      </c>
      <c r="J576" s="5" t="s">
        <v>765</v>
      </c>
    </row>
    <row r="577" customFormat="false" ht="75" hidden="false" customHeight="true" outlineLevel="0" collapsed="false">
      <c r="A577" s="5" t="s">
        <v>3324</v>
      </c>
      <c r="B577" s="5" t="s">
        <v>606</v>
      </c>
      <c r="C577" s="5" t="s">
        <v>3325</v>
      </c>
      <c r="D577" s="5" t="s">
        <v>749</v>
      </c>
      <c r="E577" s="5" t="s">
        <v>789</v>
      </c>
      <c r="F577" s="5" t="s">
        <v>3326</v>
      </c>
      <c r="G577" s="5" t="s">
        <v>3327</v>
      </c>
      <c r="H577" s="5" t="s">
        <v>3328</v>
      </c>
      <c r="I577" s="5" t="s">
        <v>753</v>
      </c>
      <c r="J577" s="5" t="s">
        <v>3329</v>
      </c>
    </row>
    <row r="578" customFormat="false" ht="75" hidden="false" customHeight="true" outlineLevel="0" collapsed="false">
      <c r="A578" s="5" t="s">
        <v>3330</v>
      </c>
      <c r="B578" s="5" t="s">
        <v>606</v>
      </c>
      <c r="C578" s="5" t="s">
        <v>3331</v>
      </c>
      <c r="D578" s="5" t="s">
        <v>772</v>
      </c>
      <c r="E578" s="5" t="s">
        <v>789</v>
      </c>
      <c r="F578" s="5" t="s">
        <v>3332</v>
      </c>
      <c r="G578" s="5" t="s">
        <v>3333</v>
      </c>
      <c r="H578" s="5"/>
      <c r="I578" s="5" t="s">
        <v>753</v>
      </c>
      <c r="J578" s="5" t="s">
        <v>3334</v>
      </c>
    </row>
    <row r="579" customFormat="false" ht="75" hidden="false" customHeight="true" outlineLevel="0" collapsed="false">
      <c r="A579" s="5" t="s">
        <v>3335</v>
      </c>
      <c r="B579" s="5" t="s">
        <v>606</v>
      </c>
      <c r="C579" s="5" t="s">
        <v>3336</v>
      </c>
      <c r="D579" s="5" t="s">
        <v>749</v>
      </c>
      <c r="E579" s="5" t="s">
        <v>750</v>
      </c>
      <c r="F579" s="5" t="s">
        <v>3337</v>
      </c>
      <c r="G579" s="5" t="s">
        <v>3338</v>
      </c>
      <c r="H579" s="5" t="s">
        <v>3339</v>
      </c>
      <c r="I579" s="5" t="s">
        <v>734</v>
      </c>
      <c r="J579" s="5" t="s">
        <v>3340</v>
      </c>
    </row>
    <row r="580" customFormat="false" ht="75" hidden="false" customHeight="true" outlineLevel="0" collapsed="false">
      <c r="A580" s="5" t="s">
        <v>3341</v>
      </c>
      <c r="B580" s="5" t="s">
        <v>614</v>
      </c>
      <c r="C580" s="5" t="s">
        <v>3342</v>
      </c>
      <c r="D580" s="5" t="s">
        <v>772</v>
      </c>
      <c r="E580" s="5" t="s">
        <v>730</v>
      </c>
      <c r="F580" s="5" t="s">
        <v>3343</v>
      </c>
      <c r="G580" s="5" t="s">
        <v>3344</v>
      </c>
      <c r="H580" s="5" t="s">
        <v>82</v>
      </c>
      <c r="I580" s="5" t="s">
        <v>734</v>
      </c>
      <c r="J580" s="5" t="s">
        <v>3345</v>
      </c>
    </row>
    <row r="581" customFormat="false" ht="75" hidden="false" customHeight="true" outlineLevel="0" collapsed="false">
      <c r="A581" s="5" t="s">
        <v>3346</v>
      </c>
      <c r="B581" s="5" t="s">
        <v>614</v>
      </c>
      <c r="C581" s="5" t="s">
        <v>3347</v>
      </c>
      <c r="D581" s="5" t="s">
        <v>729</v>
      </c>
      <c r="E581" s="5" t="s">
        <v>730</v>
      </c>
      <c r="F581" s="5" t="s">
        <v>3348</v>
      </c>
      <c r="G581" s="5" t="s">
        <v>3344</v>
      </c>
      <c r="H581" s="5" t="s">
        <v>170</v>
      </c>
      <c r="I581" s="5" t="s">
        <v>745</v>
      </c>
      <c r="J581" s="5" t="s">
        <v>942</v>
      </c>
    </row>
    <row r="582" customFormat="false" ht="75" hidden="false" customHeight="true" outlineLevel="0" collapsed="false">
      <c r="A582" s="5" t="s">
        <v>3349</v>
      </c>
      <c r="B582" s="5" t="s">
        <v>614</v>
      </c>
      <c r="C582" s="5" t="s">
        <v>3350</v>
      </c>
      <c r="D582" s="5" t="s">
        <v>772</v>
      </c>
      <c r="E582" s="5" t="s">
        <v>750</v>
      </c>
      <c r="F582" s="5" t="s">
        <v>3351</v>
      </c>
      <c r="G582" s="5" t="s">
        <v>3352</v>
      </c>
      <c r="H582" s="5" t="s">
        <v>154</v>
      </c>
      <c r="I582" s="5" t="s">
        <v>753</v>
      </c>
      <c r="J582" s="5" t="s">
        <v>3353</v>
      </c>
    </row>
    <row r="583" customFormat="false" ht="75" hidden="false" customHeight="true" outlineLevel="0" collapsed="false">
      <c r="A583" s="5" t="s">
        <v>3354</v>
      </c>
      <c r="B583" s="5" t="s">
        <v>614</v>
      </c>
      <c r="C583" s="5" t="s">
        <v>3355</v>
      </c>
      <c r="D583" s="5" t="s">
        <v>772</v>
      </c>
      <c r="E583" s="5" t="s">
        <v>782</v>
      </c>
      <c r="F583" s="5" t="s">
        <v>3356</v>
      </c>
      <c r="G583" s="5" t="s">
        <v>3357</v>
      </c>
      <c r="H583" s="5"/>
      <c r="I583" s="5" t="s">
        <v>734</v>
      </c>
      <c r="J583" s="5" t="s">
        <v>3358</v>
      </c>
    </row>
    <row r="584" customFormat="false" ht="75" hidden="false" customHeight="true" outlineLevel="0" collapsed="false">
      <c r="A584" s="5" t="s">
        <v>3359</v>
      </c>
      <c r="B584" s="5" t="s">
        <v>614</v>
      </c>
      <c r="C584" s="5" t="s">
        <v>3360</v>
      </c>
      <c r="D584" s="5" t="s">
        <v>772</v>
      </c>
      <c r="E584" s="5" t="s">
        <v>782</v>
      </c>
      <c r="F584" s="5" t="s">
        <v>3361</v>
      </c>
      <c r="G584" s="5" t="s">
        <v>3357</v>
      </c>
      <c r="H584" s="5" t="s">
        <v>3029</v>
      </c>
      <c r="I584" s="5" t="s">
        <v>734</v>
      </c>
      <c r="J584" s="5" t="s">
        <v>3362</v>
      </c>
    </row>
    <row r="585" customFormat="false" ht="75" hidden="false" customHeight="true" outlineLevel="0" collapsed="false">
      <c r="A585" s="5" t="s">
        <v>3363</v>
      </c>
      <c r="B585" s="5" t="s">
        <v>614</v>
      </c>
      <c r="C585" s="5" t="s">
        <v>3364</v>
      </c>
      <c r="D585" s="5" t="s">
        <v>749</v>
      </c>
      <c r="E585" s="5" t="s">
        <v>782</v>
      </c>
      <c r="F585" s="5" t="s">
        <v>3365</v>
      </c>
      <c r="G585" s="5" t="s">
        <v>3366</v>
      </c>
      <c r="H585" s="5" t="s">
        <v>178</v>
      </c>
      <c r="I585" s="5" t="s">
        <v>745</v>
      </c>
      <c r="J585" s="5" t="s">
        <v>765</v>
      </c>
    </row>
    <row r="586" customFormat="false" ht="75" hidden="false" customHeight="true" outlineLevel="0" collapsed="false">
      <c r="A586" s="5" t="s">
        <v>3367</v>
      </c>
      <c r="B586" s="5" t="s">
        <v>614</v>
      </c>
      <c r="C586" s="5" t="s">
        <v>3368</v>
      </c>
      <c r="D586" s="5" t="s">
        <v>772</v>
      </c>
      <c r="E586" s="5" t="s">
        <v>789</v>
      </c>
      <c r="F586" s="5" t="s">
        <v>3369</v>
      </c>
      <c r="G586" s="5" t="s">
        <v>3370</v>
      </c>
      <c r="H586" s="5" t="s">
        <v>1583</v>
      </c>
      <c r="I586" s="5" t="s">
        <v>753</v>
      </c>
      <c r="J586" s="5" t="s">
        <v>3371</v>
      </c>
    </row>
    <row r="587" customFormat="false" ht="75" hidden="false" customHeight="true" outlineLevel="0" collapsed="false">
      <c r="A587" s="5" t="s">
        <v>3372</v>
      </c>
      <c r="B587" s="5" t="s">
        <v>614</v>
      </c>
      <c r="C587" s="5" t="s">
        <v>3373</v>
      </c>
      <c r="D587" s="5" t="s">
        <v>729</v>
      </c>
      <c r="E587" s="5" t="s">
        <v>730</v>
      </c>
      <c r="F587" s="5" t="s">
        <v>3374</v>
      </c>
      <c r="G587" s="5" t="s">
        <v>3375</v>
      </c>
      <c r="H587" s="5"/>
      <c r="I587" s="5" t="s">
        <v>745</v>
      </c>
      <c r="J587" s="5" t="s">
        <v>3376</v>
      </c>
    </row>
    <row r="588" customFormat="false" ht="75" hidden="false" customHeight="true" outlineLevel="0" collapsed="false">
      <c r="A588" s="5" t="s">
        <v>3377</v>
      </c>
      <c r="B588" s="5" t="s">
        <v>614</v>
      </c>
      <c r="C588" s="5" t="s">
        <v>3378</v>
      </c>
      <c r="D588" s="5" t="s">
        <v>729</v>
      </c>
      <c r="E588" s="5" t="s">
        <v>730</v>
      </c>
      <c r="F588" s="5" t="s">
        <v>3379</v>
      </c>
      <c r="G588" s="5" t="s">
        <v>3380</v>
      </c>
      <c r="H588" s="5" t="s">
        <v>138</v>
      </c>
      <c r="I588" s="5" t="s">
        <v>753</v>
      </c>
      <c r="J588" s="5" t="s">
        <v>3381</v>
      </c>
    </row>
    <row r="589" customFormat="false" ht="75" hidden="false" customHeight="true" outlineLevel="0" collapsed="false">
      <c r="A589" s="5" t="s">
        <v>3382</v>
      </c>
      <c r="B589" s="5" t="s">
        <v>614</v>
      </c>
      <c r="C589" s="5" t="s">
        <v>3383</v>
      </c>
      <c r="D589" s="5" t="s">
        <v>772</v>
      </c>
      <c r="E589" s="5" t="s">
        <v>762</v>
      </c>
      <c r="F589" s="5" t="s">
        <v>3384</v>
      </c>
      <c r="G589" s="5" t="s">
        <v>3385</v>
      </c>
      <c r="H589" s="5"/>
      <c r="I589" s="5" t="s">
        <v>745</v>
      </c>
      <c r="J589" s="5" t="s">
        <v>3386</v>
      </c>
    </row>
    <row r="590" customFormat="false" ht="75" hidden="false" customHeight="true" outlineLevel="0" collapsed="false">
      <c r="A590" s="5" t="s">
        <v>3387</v>
      </c>
      <c r="B590" s="5" t="s">
        <v>614</v>
      </c>
      <c r="C590" s="5" t="s">
        <v>3388</v>
      </c>
      <c r="D590" s="5" t="s">
        <v>729</v>
      </c>
      <c r="E590" s="5" t="s">
        <v>924</v>
      </c>
      <c r="F590" s="5" t="s">
        <v>3389</v>
      </c>
      <c r="G590" s="5" t="s">
        <v>3390</v>
      </c>
      <c r="H590" s="5"/>
      <c r="I590" s="5" t="s">
        <v>745</v>
      </c>
      <c r="J590" s="5" t="s">
        <v>3391</v>
      </c>
    </row>
    <row r="591" customFormat="false" ht="75" hidden="false" customHeight="true" outlineLevel="0" collapsed="false">
      <c r="A591" s="5" t="s">
        <v>3392</v>
      </c>
      <c r="B591" s="5" t="s">
        <v>614</v>
      </c>
      <c r="C591" s="5" t="s">
        <v>3393</v>
      </c>
      <c r="D591" s="5" t="s">
        <v>749</v>
      </c>
      <c r="E591" s="5" t="s">
        <v>802</v>
      </c>
      <c r="F591" s="5" t="s">
        <v>3394</v>
      </c>
      <c r="G591" s="5" t="s">
        <v>3395</v>
      </c>
      <c r="H591" s="5" t="s">
        <v>41</v>
      </c>
      <c r="I591" s="5" t="s">
        <v>734</v>
      </c>
      <c r="J591" s="5" t="s">
        <v>3396</v>
      </c>
    </row>
    <row r="592" customFormat="false" ht="75" hidden="false" customHeight="true" outlineLevel="0" collapsed="false">
      <c r="A592" s="5" t="s">
        <v>3397</v>
      </c>
      <c r="B592" s="5" t="s">
        <v>622</v>
      </c>
      <c r="C592" s="5" t="s">
        <v>3398</v>
      </c>
      <c r="D592" s="5" t="s">
        <v>749</v>
      </c>
      <c r="E592" s="5" t="s">
        <v>730</v>
      </c>
      <c r="F592" s="5" t="s">
        <v>3399</v>
      </c>
      <c r="G592" s="5" t="s">
        <v>625</v>
      </c>
      <c r="H592" s="5"/>
      <c r="I592" s="5" t="s">
        <v>734</v>
      </c>
      <c r="J592" s="5" t="s">
        <v>973</v>
      </c>
    </row>
    <row r="593" customFormat="false" ht="75" hidden="false" customHeight="true" outlineLevel="0" collapsed="false">
      <c r="A593" s="5" t="s">
        <v>3400</v>
      </c>
      <c r="B593" s="5" t="s">
        <v>622</v>
      </c>
      <c r="C593" s="5" t="s">
        <v>3401</v>
      </c>
      <c r="D593" s="5" t="s">
        <v>772</v>
      </c>
      <c r="E593" s="5" t="s">
        <v>782</v>
      </c>
      <c r="F593" s="5" t="s">
        <v>3402</v>
      </c>
      <c r="G593" s="5" t="s">
        <v>625</v>
      </c>
      <c r="H593" s="5"/>
      <c r="I593" s="5" t="s">
        <v>734</v>
      </c>
      <c r="J593" s="5" t="s">
        <v>3403</v>
      </c>
    </row>
    <row r="594" customFormat="false" ht="75" hidden="false" customHeight="true" outlineLevel="0" collapsed="false">
      <c r="A594" s="5" t="s">
        <v>3404</v>
      </c>
      <c r="B594" s="5" t="s">
        <v>622</v>
      </c>
      <c r="C594" s="5" t="s">
        <v>3405</v>
      </c>
      <c r="D594" s="5" t="s">
        <v>772</v>
      </c>
      <c r="E594" s="5" t="s">
        <v>782</v>
      </c>
      <c r="F594" s="5" t="s">
        <v>3406</v>
      </c>
      <c r="G594" s="5" t="s">
        <v>625</v>
      </c>
      <c r="H594" s="5" t="s">
        <v>274</v>
      </c>
      <c r="I594" s="5" t="s">
        <v>753</v>
      </c>
      <c r="J594" s="5" t="s">
        <v>3407</v>
      </c>
    </row>
    <row r="595" customFormat="false" ht="75" hidden="false" customHeight="true" outlineLevel="0" collapsed="false">
      <c r="A595" s="5" t="s">
        <v>3408</v>
      </c>
      <c r="B595" s="5" t="s">
        <v>622</v>
      </c>
      <c r="C595" s="5" t="s">
        <v>2545</v>
      </c>
      <c r="D595" s="5" t="s">
        <v>772</v>
      </c>
      <c r="E595" s="5" t="s">
        <v>782</v>
      </c>
      <c r="F595" s="5" t="s">
        <v>3409</v>
      </c>
      <c r="G595" s="5" t="s">
        <v>625</v>
      </c>
      <c r="H595" s="5" t="s">
        <v>49</v>
      </c>
      <c r="I595" s="5" t="s">
        <v>734</v>
      </c>
      <c r="J595" s="5" t="s">
        <v>3410</v>
      </c>
    </row>
    <row r="596" customFormat="false" ht="75" hidden="false" customHeight="true" outlineLevel="0" collapsed="false">
      <c r="A596" s="5" t="s">
        <v>3411</v>
      </c>
      <c r="B596" s="5" t="s">
        <v>622</v>
      </c>
      <c r="C596" s="5" t="s">
        <v>1047</v>
      </c>
      <c r="D596" s="5" t="s">
        <v>772</v>
      </c>
      <c r="E596" s="5" t="s">
        <v>762</v>
      </c>
      <c r="F596" s="5" t="s">
        <v>3412</v>
      </c>
      <c r="G596" s="5" t="s">
        <v>625</v>
      </c>
      <c r="H596" s="5" t="s">
        <v>49</v>
      </c>
      <c r="I596" s="5" t="s">
        <v>734</v>
      </c>
      <c r="J596" s="5" t="s">
        <v>1050</v>
      </c>
    </row>
    <row r="597" customFormat="false" ht="75" hidden="false" customHeight="true" outlineLevel="0" collapsed="false">
      <c r="A597" s="5" t="s">
        <v>3413</v>
      </c>
      <c r="B597" s="5" t="s">
        <v>622</v>
      </c>
      <c r="C597" s="5" t="s">
        <v>3414</v>
      </c>
      <c r="D597" s="5" t="s">
        <v>772</v>
      </c>
      <c r="E597" s="5" t="s">
        <v>782</v>
      </c>
      <c r="F597" s="5" t="s">
        <v>3415</v>
      </c>
      <c r="G597" s="5" t="s">
        <v>625</v>
      </c>
      <c r="H597" s="5" t="s">
        <v>3416</v>
      </c>
      <c r="I597" s="5" t="s">
        <v>734</v>
      </c>
      <c r="J597" s="5" t="s">
        <v>3417</v>
      </c>
    </row>
    <row r="598" customFormat="false" ht="75" hidden="false" customHeight="true" outlineLevel="0" collapsed="false">
      <c r="A598" s="5" t="s">
        <v>3418</v>
      </c>
      <c r="B598" s="5" t="s">
        <v>622</v>
      </c>
      <c r="C598" s="5" t="s">
        <v>3419</v>
      </c>
      <c r="D598" s="5" t="s">
        <v>749</v>
      </c>
      <c r="E598" s="5" t="s">
        <v>888</v>
      </c>
      <c r="F598" s="5" t="s">
        <v>3420</v>
      </c>
      <c r="G598" s="5" t="s">
        <v>625</v>
      </c>
      <c r="H598" s="5" t="s">
        <v>114</v>
      </c>
      <c r="I598" s="5" t="s">
        <v>745</v>
      </c>
      <c r="J598" s="5" t="s">
        <v>3421</v>
      </c>
    </row>
    <row r="599" customFormat="false" ht="75" hidden="false" customHeight="true" outlineLevel="0" collapsed="false">
      <c r="A599" s="5" t="s">
        <v>3422</v>
      </c>
      <c r="B599" s="5" t="s">
        <v>622</v>
      </c>
      <c r="C599" s="5" t="s">
        <v>3423</v>
      </c>
      <c r="D599" s="5" t="s">
        <v>772</v>
      </c>
      <c r="E599" s="5" t="s">
        <v>782</v>
      </c>
      <c r="F599" s="5" t="s">
        <v>3424</v>
      </c>
      <c r="G599" s="5" t="s">
        <v>625</v>
      </c>
      <c r="H599" s="5" t="s">
        <v>250</v>
      </c>
      <c r="I599" s="5" t="s">
        <v>734</v>
      </c>
      <c r="J599" s="5" t="s">
        <v>2079</v>
      </c>
    </row>
    <row r="600" customFormat="false" ht="75" hidden="false" customHeight="true" outlineLevel="0" collapsed="false">
      <c r="A600" s="5" t="s">
        <v>3425</v>
      </c>
      <c r="B600" s="5" t="s">
        <v>622</v>
      </c>
      <c r="C600" s="5" t="s">
        <v>3426</v>
      </c>
      <c r="D600" s="5" t="s">
        <v>749</v>
      </c>
      <c r="E600" s="5" t="s">
        <v>782</v>
      </c>
      <c r="F600" s="5" t="s">
        <v>3427</v>
      </c>
      <c r="G600" s="5" t="s">
        <v>625</v>
      </c>
      <c r="H600" s="5" t="s">
        <v>3428</v>
      </c>
      <c r="I600" s="5" t="s">
        <v>785</v>
      </c>
      <c r="J600" s="5" t="s">
        <v>3429</v>
      </c>
    </row>
    <row r="601" customFormat="false" ht="75" hidden="false" customHeight="true" outlineLevel="0" collapsed="false">
      <c r="A601" s="5" t="s">
        <v>3430</v>
      </c>
      <c r="B601" s="5" t="s">
        <v>622</v>
      </c>
      <c r="C601" s="5" t="s">
        <v>3431</v>
      </c>
      <c r="D601" s="5" t="s">
        <v>749</v>
      </c>
      <c r="E601" s="5" t="s">
        <v>789</v>
      </c>
      <c r="F601" s="5" t="s">
        <v>3432</v>
      </c>
      <c r="G601" s="5" t="s">
        <v>625</v>
      </c>
      <c r="H601" s="5" t="s">
        <v>194</v>
      </c>
      <c r="I601" s="5" t="s">
        <v>753</v>
      </c>
      <c r="J601" s="5" t="s">
        <v>3433</v>
      </c>
    </row>
    <row r="602" customFormat="false" ht="75" hidden="false" customHeight="true" outlineLevel="0" collapsed="false">
      <c r="A602" s="5" t="s">
        <v>3434</v>
      </c>
      <c r="B602" s="5" t="s">
        <v>622</v>
      </c>
      <c r="C602" s="5" t="s">
        <v>3435</v>
      </c>
      <c r="D602" s="5" t="s">
        <v>749</v>
      </c>
      <c r="E602" s="5" t="s">
        <v>802</v>
      </c>
      <c r="F602" s="5" t="s">
        <v>3436</v>
      </c>
      <c r="G602" s="5" t="s">
        <v>3437</v>
      </c>
      <c r="H602" s="5" t="s">
        <v>186</v>
      </c>
      <c r="I602" s="5" t="s">
        <v>753</v>
      </c>
      <c r="J602" s="5" t="s">
        <v>3438</v>
      </c>
    </row>
    <row r="603" customFormat="false" ht="75" hidden="false" customHeight="true" outlineLevel="0" collapsed="false">
      <c r="A603" s="5" t="s">
        <v>3439</v>
      </c>
      <c r="B603" s="5" t="s">
        <v>622</v>
      </c>
      <c r="C603" s="5" t="s">
        <v>3440</v>
      </c>
      <c r="D603" s="5" t="s">
        <v>749</v>
      </c>
      <c r="E603" s="5" t="s">
        <v>762</v>
      </c>
      <c r="F603" s="5" t="s">
        <v>3441</v>
      </c>
      <c r="G603" s="5" t="s">
        <v>625</v>
      </c>
      <c r="H603" s="5" t="s">
        <v>226</v>
      </c>
      <c r="I603" s="5" t="s">
        <v>745</v>
      </c>
      <c r="J603" s="5" t="s">
        <v>765</v>
      </c>
    </row>
    <row r="604" customFormat="false" ht="75" hidden="false" customHeight="true" outlineLevel="0" collapsed="false">
      <c r="A604" s="5" t="s">
        <v>3442</v>
      </c>
      <c r="B604" s="5" t="s">
        <v>622</v>
      </c>
      <c r="C604" s="5" t="s">
        <v>3443</v>
      </c>
      <c r="D604" s="5" t="s">
        <v>772</v>
      </c>
      <c r="E604" s="5" t="s">
        <v>762</v>
      </c>
      <c r="F604" s="5" t="s">
        <v>3444</v>
      </c>
      <c r="G604" s="5" t="s">
        <v>625</v>
      </c>
      <c r="H604" s="5" t="s">
        <v>178</v>
      </c>
      <c r="I604" s="5" t="s">
        <v>745</v>
      </c>
      <c r="J604" s="5" t="s">
        <v>765</v>
      </c>
    </row>
    <row r="605" customFormat="false" ht="75" hidden="false" customHeight="true" outlineLevel="0" collapsed="false">
      <c r="A605" s="5" t="s">
        <v>3445</v>
      </c>
      <c r="B605" s="5" t="s">
        <v>622</v>
      </c>
      <c r="C605" s="5" t="s">
        <v>2868</v>
      </c>
      <c r="D605" s="5" t="s">
        <v>749</v>
      </c>
      <c r="E605" s="5" t="s">
        <v>762</v>
      </c>
      <c r="F605" s="5" t="s">
        <v>3446</v>
      </c>
      <c r="G605" s="5" t="s">
        <v>625</v>
      </c>
      <c r="H605" s="5"/>
      <c r="I605" s="5" t="s">
        <v>734</v>
      </c>
      <c r="J605" s="5" t="s">
        <v>2871</v>
      </c>
    </row>
    <row r="606" customFormat="false" ht="75" hidden="false" customHeight="true" outlineLevel="0" collapsed="false">
      <c r="A606" s="5" t="s">
        <v>3447</v>
      </c>
      <c r="B606" s="5" t="s">
        <v>622</v>
      </c>
      <c r="C606" s="5" t="s">
        <v>3448</v>
      </c>
      <c r="D606" s="5" t="s">
        <v>729</v>
      </c>
      <c r="E606" s="5" t="s">
        <v>750</v>
      </c>
      <c r="F606" s="5" t="s">
        <v>3449</v>
      </c>
      <c r="G606" s="5" t="s">
        <v>3450</v>
      </c>
      <c r="H606" s="5"/>
      <c r="I606" s="5" t="s">
        <v>745</v>
      </c>
      <c r="J606" s="5" t="s">
        <v>3451</v>
      </c>
    </row>
    <row r="607" customFormat="false" ht="75" hidden="false" customHeight="true" outlineLevel="0" collapsed="false">
      <c r="A607" s="5" t="s">
        <v>3452</v>
      </c>
      <c r="B607" s="5" t="s">
        <v>630</v>
      </c>
      <c r="C607" s="5" t="s">
        <v>3453</v>
      </c>
      <c r="D607" s="5" t="s">
        <v>749</v>
      </c>
      <c r="E607" s="5" t="s">
        <v>802</v>
      </c>
      <c r="F607" s="5" t="s">
        <v>3454</v>
      </c>
      <c r="G607" s="5" t="s">
        <v>3455</v>
      </c>
      <c r="H607" s="5" t="s">
        <v>186</v>
      </c>
      <c r="I607" s="5" t="s">
        <v>753</v>
      </c>
      <c r="J607" s="5" t="s">
        <v>3456</v>
      </c>
    </row>
    <row r="608" customFormat="false" ht="75" hidden="false" customHeight="true" outlineLevel="0" collapsed="false">
      <c r="A608" s="5" t="s">
        <v>3457</v>
      </c>
      <c r="B608" s="5" t="s">
        <v>630</v>
      </c>
      <c r="C608" s="5" t="s">
        <v>3458</v>
      </c>
      <c r="D608" s="5" t="s">
        <v>772</v>
      </c>
      <c r="E608" s="5" t="s">
        <v>762</v>
      </c>
      <c r="F608" s="5" t="s">
        <v>3459</v>
      </c>
      <c r="G608" s="5" t="s">
        <v>3460</v>
      </c>
      <c r="H608" s="5"/>
      <c r="I608" s="5" t="s">
        <v>745</v>
      </c>
      <c r="J608" s="5" t="s">
        <v>765</v>
      </c>
    </row>
    <row r="609" customFormat="false" ht="75" hidden="false" customHeight="true" outlineLevel="0" collapsed="false">
      <c r="A609" s="5" t="s">
        <v>3461</v>
      </c>
      <c r="B609" s="5" t="s">
        <v>630</v>
      </c>
      <c r="C609" s="5" t="s">
        <v>3462</v>
      </c>
      <c r="D609" s="5" t="s">
        <v>749</v>
      </c>
      <c r="E609" s="5" t="s">
        <v>762</v>
      </c>
      <c r="F609" s="5" t="s">
        <v>3463</v>
      </c>
      <c r="G609" s="5" t="s">
        <v>3460</v>
      </c>
      <c r="H609" s="5" t="s">
        <v>178</v>
      </c>
      <c r="I609" s="5" t="s">
        <v>745</v>
      </c>
      <c r="J609" s="5" t="s">
        <v>765</v>
      </c>
    </row>
    <row r="610" customFormat="false" ht="75" hidden="false" customHeight="true" outlineLevel="0" collapsed="false">
      <c r="A610" s="5" t="s">
        <v>3464</v>
      </c>
      <c r="B610" s="5" t="s">
        <v>630</v>
      </c>
      <c r="C610" s="5" t="s">
        <v>3465</v>
      </c>
      <c r="D610" s="5" t="s">
        <v>729</v>
      </c>
      <c r="E610" s="5" t="s">
        <v>888</v>
      </c>
      <c r="F610" s="5" t="s">
        <v>3466</v>
      </c>
      <c r="G610" s="5" t="s">
        <v>3467</v>
      </c>
      <c r="H610" s="5" t="s">
        <v>162</v>
      </c>
      <c r="I610" s="5" t="s">
        <v>734</v>
      </c>
      <c r="J610" s="5" t="s">
        <v>3468</v>
      </c>
    </row>
    <row r="611" customFormat="false" ht="75" hidden="false" customHeight="true" outlineLevel="0" collapsed="false">
      <c r="A611" s="5" t="s">
        <v>3469</v>
      </c>
      <c r="B611" s="5" t="s">
        <v>630</v>
      </c>
      <c r="C611" s="5" t="s">
        <v>3470</v>
      </c>
      <c r="D611" s="5" t="s">
        <v>729</v>
      </c>
      <c r="E611" s="5" t="s">
        <v>730</v>
      </c>
      <c r="F611" s="5" t="s">
        <v>3471</v>
      </c>
      <c r="G611" s="5" t="s">
        <v>3472</v>
      </c>
      <c r="H611" s="5"/>
      <c r="I611" s="5" t="s">
        <v>745</v>
      </c>
      <c r="J611" s="5" t="s">
        <v>1449</v>
      </c>
    </row>
    <row r="612" customFormat="false" ht="75" hidden="false" customHeight="true" outlineLevel="0" collapsed="false">
      <c r="A612" s="5" t="s">
        <v>3473</v>
      </c>
      <c r="B612" s="5" t="s">
        <v>630</v>
      </c>
      <c r="C612" s="5" t="s">
        <v>3474</v>
      </c>
      <c r="D612" s="5" t="s">
        <v>729</v>
      </c>
      <c r="E612" s="5" t="s">
        <v>802</v>
      </c>
      <c r="F612" s="5" t="s">
        <v>3475</v>
      </c>
      <c r="G612" s="5" t="s">
        <v>3476</v>
      </c>
      <c r="H612" s="5" t="s">
        <v>218</v>
      </c>
      <c r="I612" s="5" t="s">
        <v>785</v>
      </c>
      <c r="J612" s="5" t="s">
        <v>3477</v>
      </c>
    </row>
    <row r="613" customFormat="false" ht="75" hidden="false" customHeight="true" outlineLevel="0" collapsed="false">
      <c r="A613" s="5" t="s">
        <v>3478</v>
      </c>
      <c r="B613" s="5" t="s">
        <v>630</v>
      </c>
      <c r="C613" s="5" t="s">
        <v>3479</v>
      </c>
      <c r="D613" s="5" t="s">
        <v>729</v>
      </c>
      <c r="E613" s="5" t="s">
        <v>924</v>
      </c>
      <c r="F613" s="5" t="s">
        <v>3480</v>
      </c>
      <c r="G613" s="5" t="s">
        <v>3481</v>
      </c>
      <c r="H613" s="5" t="s">
        <v>138</v>
      </c>
      <c r="I613" s="5" t="s">
        <v>753</v>
      </c>
      <c r="J613" s="5" t="s">
        <v>2598</v>
      </c>
    </row>
    <row r="614" customFormat="false" ht="75" hidden="false" customHeight="true" outlineLevel="0" collapsed="false">
      <c r="A614" s="5" t="s">
        <v>3482</v>
      </c>
      <c r="B614" s="5" t="s">
        <v>630</v>
      </c>
      <c r="C614" s="5" t="s">
        <v>3483</v>
      </c>
      <c r="D614" s="5" t="s">
        <v>749</v>
      </c>
      <c r="E614" s="5" t="s">
        <v>750</v>
      </c>
      <c r="F614" s="5" t="s">
        <v>3484</v>
      </c>
      <c r="G614" s="5" t="s">
        <v>3485</v>
      </c>
      <c r="H614" s="5" t="s">
        <v>3486</v>
      </c>
      <c r="I614" s="5" t="s">
        <v>745</v>
      </c>
      <c r="J614" s="5" t="s">
        <v>1378</v>
      </c>
    </row>
    <row r="615" customFormat="false" ht="75" hidden="false" customHeight="true" outlineLevel="0" collapsed="false">
      <c r="A615" s="5" t="s">
        <v>3487</v>
      </c>
      <c r="B615" s="5" t="s">
        <v>630</v>
      </c>
      <c r="C615" s="5" t="s">
        <v>3488</v>
      </c>
      <c r="D615" s="5" t="s">
        <v>729</v>
      </c>
      <c r="E615" s="5" t="s">
        <v>750</v>
      </c>
      <c r="F615" s="5" t="s">
        <v>3489</v>
      </c>
      <c r="G615" s="5" t="s">
        <v>3490</v>
      </c>
      <c r="H615" s="5"/>
      <c r="I615" s="5" t="s">
        <v>785</v>
      </c>
      <c r="J615" s="5" t="s">
        <v>3491</v>
      </c>
    </row>
    <row r="616" customFormat="false" ht="75" hidden="false" customHeight="true" outlineLevel="0" collapsed="false">
      <c r="A616" s="5" t="s">
        <v>3492</v>
      </c>
      <c r="B616" s="5" t="s">
        <v>639</v>
      </c>
      <c r="C616" s="5" t="s">
        <v>3493</v>
      </c>
      <c r="D616" s="5" t="s">
        <v>729</v>
      </c>
      <c r="E616" s="5" t="s">
        <v>789</v>
      </c>
      <c r="F616" s="5" t="s">
        <v>3494</v>
      </c>
      <c r="G616" s="5" t="s">
        <v>3495</v>
      </c>
      <c r="H616" s="5" t="s">
        <v>194</v>
      </c>
      <c r="I616" s="5" t="s">
        <v>753</v>
      </c>
      <c r="J616" s="5" t="s">
        <v>3496</v>
      </c>
    </row>
    <row r="617" customFormat="false" ht="75" hidden="false" customHeight="true" outlineLevel="0" collapsed="false">
      <c r="A617" s="5" t="s">
        <v>3497</v>
      </c>
      <c r="B617" s="5" t="s">
        <v>639</v>
      </c>
      <c r="C617" s="5" t="s">
        <v>3498</v>
      </c>
      <c r="D617" s="5" t="s">
        <v>749</v>
      </c>
      <c r="E617" s="5" t="s">
        <v>789</v>
      </c>
      <c r="F617" s="5" t="s">
        <v>3499</v>
      </c>
      <c r="G617" s="5" t="s">
        <v>3495</v>
      </c>
      <c r="H617" s="5"/>
      <c r="I617" s="5" t="s">
        <v>753</v>
      </c>
      <c r="J617" s="5" t="s">
        <v>3500</v>
      </c>
    </row>
    <row r="618" customFormat="false" ht="75" hidden="false" customHeight="true" outlineLevel="0" collapsed="false">
      <c r="A618" s="5" t="s">
        <v>3501</v>
      </c>
      <c r="B618" s="5" t="s">
        <v>639</v>
      </c>
      <c r="C618" s="5" t="s">
        <v>3502</v>
      </c>
      <c r="D618" s="5" t="s">
        <v>729</v>
      </c>
      <c r="E618" s="5" t="s">
        <v>789</v>
      </c>
      <c r="F618" s="5" t="s">
        <v>3503</v>
      </c>
      <c r="G618" s="5" t="s">
        <v>643</v>
      </c>
      <c r="H618" s="5"/>
      <c r="I618" s="5" t="s">
        <v>785</v>
      </c>
      <c r="J618" s="5" t="s">
        <v>3504</v>
      </c>
    </row>
    <row r="619" customFormat="false" ht="75" hidden="false" customHeight="true" outlineLevel="0" collapsed="false">
      <c r="A619" s="5" t="s">
        <v>3505</v>
      </c>
      <c r="B619" s="5" t="s">
        <v>639</v>
      </c>
      <c r="C619" s="5" t="s">
        <v>3506</v>
      </c>
      <c r="D619" s="5" t="s">
        <v>729</v>
      </c>
      <c r="E619" s="5" t="s">
        <v>789</v>
      </c>
      <c r="F619" s="5" t="s">
        <v>3507</v>
      </c>
      <c r="G619" s="5" t="s">
        <v>643</v>
      </c>
      <c r="H619" s="5"/>
      <c r="I619" s="5" t="s">
        <v>785</v>
      </c>
      <c r="J619" s="5" t="s">
        <v>3508</v>
      </c>
    </row>
    <row r="620" customFormat="false" ht="75" hidden="false" customHeight="true" outlineLevel="0" collapsed="false">
      <c r="A620" s="5" t="s">
        <v>3509</v>
      </c>
      <c r="B620" s="5" t="s">
        <v>639</v>
      </c>
      <c r="C620" s="5" t="s">
        <v>3510</v>
      </c>
      <c r="D620" s="5" t="s">
        <v>772</v>
      </c>
      <c r="E620" s="5" t="s">
        <v>762</v>
      </c>
      <c r="F620" s="5" t="s">
        <v>3511</v>
      </c>
      <c r="G620" s="5" t="s">
        <v>3512</v>
      </c>
      <c r="H620" s="5" t="s">
        <v>226</v>
      </c>
      <c r="I620" s="5" t="s">
        <v>745</v>
      </c>
      <c r="J620" s="5" t="s">
        <v>765</v>
      </c>
    </row>
    <row r="621" customFormat="false" ht="75" hidden="false" customHeight="true" outlineLevel="0" collapsed="false">
      <c r="A621" s="5" t="s">
        <v>3513</v>
      </c>
      <c r="B621" s="5" t="s">
        <v>639</v>
      </c>
      <c r="C621" s="5" t="s">
        <v>3514</v>
      </c>
      <c r="D621" s="5" t="s">
        <v>749</v>
      </c>
      <c r="E621" s="5" t="s">
        <v>782</v>
      </c>
      <c r="F621" s="5" t="s">
        <v>3515</v>
      </c>
      <c r="G621" s="5" t="s">
        <v>3516</v>
      </c>
      <c r="H621" s="5" t="s">
        <v>226</v>
      </c>
      <c r="I621" s="5" t="s">
        <v>745</v>
      </c>
      <c r="J621" s="5" t="s">
        <v>765</v>
      </c>
    </row>
    <row r="622" customFormat="false" ht="75" hidden="false" customHeight="true" outlineLevel="0" collapsed="false">
      <c r="A622" s="5" t="s">
        <v>3517</v>
      </c>
      <c r="B622" s="5" t="s">
        <v>639</v>
      </c>
      <c r="C622" s="5" t="s">
        <v>3518</v>
      </c>
      <c r="D622" s="5" t="s">
        <v>729</v>
      </c>
      <c r="E622" s="5" t="s">
        <v>730</v>
      </c>
      <c r="F622" s="5" t="s">
        <v>3519</v>
      </c>
      <c r="G622" s="5" t="s">
        <v>643</v>
      </c>
      <c r="H622" s="5"/>
      <c r="I622" s="5" t="s">
        <v>745</v>
      </c>
      <c r="J622" s="5" t="s">
        <v>3520</v>
      </c>
    </row>
    <row r="623" customFormat="false" ht="75" hidden="false" customHeight="true" outlineLevel="0" collapsed="false">
      <c r="A623" s="5" t="s">
        <v>3521</v>
      </c>
      <c r="B623" s="5" t="s">
        <v>639</v>
      </c>
      <c r="C623" s="5" t="s">
        <v>3522</v>
      </c>
      <c r="D623" s="5" t="s">
        <v>729</v>
      </c>
      <c r="E623" s="5" t="s">
        <v>888</v>
      </c>
      <c r="F623" s="5" t="s">
        <v>3523</v>
      </c>
      <c r="G623" s="5" t="s">
        <v>643</v>
      </c>
      <c r="H623" s="5"/>
      <c r="I623" s="5" t="s">
        <v>745</v>
      </c>
      <c r="J623" s="5" t="s">
        <v>3524</v>
      </c>
    </row>
    <row r="624" customFormat="false" ht="75" hidden="false" customHeight="true" outlineLevel="0" collapsed="false">
      <c r="A624" s="5" t="s">
        <v>3525</v>
      </c>
      <c r="B624" s="5" t="s">
        <v>639</v>
      </c>
      <c r="C624" s="5" t="s">
        <v>3526</v>
      </c>
      <c r="D624" s="5" t="s">
        <v>729</v>
      </c>
      <c r="E624" s="5" t="s">
        <v>750</v>
      </c>
      <c r="F624" s="5" t="s">
        <v>3527</v>
      </c>
      <c r="G624" s="5" t="s">
        <v>643</v>
      </c>
      <c r="H624" s="5"/>
      <c r="I624" s="5" t="s">
        <v>785</v>
      </c>
      <c r="J624" s="5" t="s">
        <v>3528</v>
      </c>
    </row>
    <row r="625" customFormat="false" ht="75" hidden="false" customHeight="true" outlineLevel="0" collapsed="false">
      <c r="A625" s="5" t="s">
        <v>3529</v>
      </c>
      <c r="B625" s="5" t="s">
        <v>648</v>
      </c>
      <c r="C625" s="5" t="s">
        <v>3530</v>
      </c>
      <c r="D625" s="5" t="s">
        <v>749</v>
      </c>
      <c r="E625" s="5" t="s">
        <v>782</v>
      </c>
      <c r="F625" s="5" t="s">
        <v>3531</v>
      </c>
      <c r="G625" s="5" t="s">
        <v>3532</v>
      </c>
      <c r="H625" s="5" t="s">
        <v>178</v>
      </c>
      <c r="I625" s="5" t="s">
        <v>745</v>
      </c>
      <c r="J625" s="5" t="s">
        <v>765</v>
      </c>
    </row>
    <row r="626" customFormat="false" ht="75" hidden="false" customHeight="true" outlineLevel="0" collapsed="false">
      <c r="A626" s="5" t="s">
        <v>3533</v>
      </c>
      <c r="B626" s="5" t="s">
        <v>648</v>
      </c>
      <c r="C626" s="5" t="s">
        <v>3534</v>
      </c>
      <c r="D626" s="5" t="s">
        <v>749</v>
      </c>
      <c r="E626" s="5" t="s">
        <v>782</v>
      </c>
      <c r="F626" s="5" t="s">
        <v>3535</v>
      </c>
      <c r="G626" s="5" t="s">
        <v>3536</v>
      </c>
      <c r="H626" s="5"/>
      <c r="I626" s="5" t="s">
        <v>745</v>
      </c>
      <c r="J626" s="5" t="s">
        <v>765</v>
      </c>
    </row>
    <row r="627" customFormat="false" ht="75" hidden="false" customHeight="true" outlineLevel="0" collapsed="false">
      <c r="A627" s="5" t="s">
        <v>3537</v>
      </c>
      <c r="B627" s="5" t="s">
        <v>648</v>
      </c>
      <c r="C627" s="5" t="s">
        <v>3538</v>
      </c>
      <c r="D627" s="5" t="s">
        <v>772</v>
      </c>
      <c r="E627" s="5" t="s">
        <v>762</v>
      </c>
      <c r="F627" s="5" t="s">
        <v>3539</v>
      </c>
      <c r="G627" s="5" t="s">
        <v>3540</v>
      </c>
      <c r="H627" s="5"/>
      <c r="I627" s="5" t="s">
        <v>745</v>
      </c>
      <c r="J627" s="5" t="s">
        <v>765</v>
      </c>
    </row>
    <row r="628" customFormat="false" ht="75" hidden="false" customHeight="true" outlineLevel="0" collapsed="false">
      <c r="A628" s="5" t="s">
        <v>3541</v>
      </c>
      <c r="B628" s="5" t="s">
        <v>648</v>
      </c>
      <c r="C628" s="5" t="s">
        <v>3542</v>
      </c>
      <c r="D628" s="5" t="s">
        <v>729</v>
      </c>
      <c r="E628" s="5" t="s">
        <v>730</v>
      </c>
      <c r="F628" s="5" t="s">
        <v>3543</v>
      </c>
      <c r="G628" s="5" t="s">
        <v>3544</v>
      </c>
      <c r="H628" s="5"/>
      <c r="I628" s="5" t="s">
        <v>745</v>
      </c>
      <c r="J628" s="5" t="s">
        <v>3545</v>
      </c>
    </row>
    <row r="629" customFormat="false" ht="75" hidden="false" customHeight="true" outlineLevel="0" collapsed="false">
      <c r="A629" s="5" t="s">
        <v>3546</v>
      </c>
      <c r="B629" s="5" t="s">
        <v>648</v>
      </c>
      <c r="C629" s="5" t="s">
        <v>3547</v>
      </c>
      <c r="D629" s="5" t="s">
        <v>729</v>
      </c>
      <c r="E629" s="5" t="s">
        <v>750</v>
      </c>
      <c r="F629" s="5" t="s">
        <v>3548</v>
      </c>
      <c r="G629" s="5" t="s">
        <v>3549</v>
      </c>
      <c r="H629" s="5" t="s">
        <v>226</v>
      </c>
      <c r="I629" s="5" t="s">
        <v>734</v>
      </c>
      <c r="J629" s="5" t="s">
        <v>3550</v>
      </c>
    </row>
    <row r="630" customFormat="false" ht="75" hidden="false" customHeight="true" outlineLevel="0" collapsed="false">
      <c r="A630" s="5" t="s">
        <v>3551</v>
      </c>
      <c r="B630" s="5" t="s">
        <v>657</v>
      </c>
      <c r="C630" s="5" t="s">
        <v>3552</v>
      </c>
      <c r="D630" s="5" t="s">
        <v>749</v>
      </c>
      <c r="E630" s="5" t="s">
        <v>762</v>
      </c>
      <c r="F630" s="5" t="s">
        <v>3553</v>
      </c>
      <c r="G630" s="5" t="s">
        <v>3554</v>
      </c>
      <c r="H630" s="5"/>
      <c r="I630" s="5" t="s">
        <v>745</v>
      </c>
      <c r="J630" s="5" t="s">
        <v>765</v>
      </c>
    </row>
    <row r="631" customFormat="false" ht="75" hidden="false" customHeight="true" outlineLevel="0" collapsed="false">
      <c r="A631" s="5" t="s">
        <v>3555</v>
      </c>
      <c r="B631" s="5" t="s">
        <v>657</v>
      </c>
      <c r="C631" s="5" t="s">
        <v>3556</v>
      </c>
      <c r="D631" s="5" t="s">
        <v>749</v>
      </c>
      <c r="E631" s="5" t="s">
        <v>762</v>
      </c>
      <c r="F631" s="5" t="s">
        <v>3557</v>
      </c>
      <c r="G631" s="5" t="s">
        <v>661</v>
      </c>
      <c r="H631" s="5"/>
      <c r="I631" s="5" t="s">
        <v>745</v>
      </c>
      <c r="J631" s="5" t="s">
        <v>765</v>
      </c>
    </row>
    <row r="632" customFormat="false" ht="75" hidden="false" customHeight="true" outlineLevel="0" collapsed="false">
      <c r="A632" s="5" t="s">
        <v>3558</v>
      </c>
      <c r="B632" s="5" t="s">
        <v>657</v>
      </c>
      <c r="C632" s="5" t="s">
        <v>3559</v>
      </c>
      <c r="D632" s="5" t="s">
        <v>772</v>
      </c>
      <c r="E632" s="5" t="s">
        <v>789</v>
      </c>
      <c r="F632" s="5" t="s">
        <v>3560</v>
      </c>
      <c r="G632" s="5" t="s">
        <v>3561</v>
      </c>
      <c r="H632" s="5" t="s">
        <v>194</v>
      </c>
      <c r="I632" s="5" t="s">
        <v>753</v>
      </c>
      <c r="J632" s="5" t="s">
        <v>3562</v>
      </c>
    </row>
    <row r="633" customFormat="false" ht="75" hidden="false" customHeight="true" outlineLevel="0" collapsed="false">
      <c r="A633" s="5" t="s">
        <v>3563</v>
      </c>
      <c r="B633" s="5" t="s">
        <v>657</v>
      </c>
      <c r="C633" s="5" t="s">
        <v>3564</v>
      </c>
      <c r="D633" s="5" t="s">
        <v>729</v>
      </c>
      <c r="E633" s="5" t="s">
        <v>789</v>
      </c>
      <c r="F633" s="5" t="s">
        <v>3565</v>
      </c>
      <c r="G633" s="5" t="s">
        <v>661</v>
      </c>
      <c r="H633" s="5"/>
      <c r="I633" s="5" t="s">
        <v>734</v>
      </c>
      <c r="J633" s="5" t="s">
        <v>1598</v>
      </c>
    </row>
    <row r="634" customFormat="false" ht="75" hidden="false" customHeight="true" outlineLevel="0" collapsed="false">
      <c r="A634" s="5" t="s">
        <v>3566</v>
      </c>
      <c r="B634" s="5" t="s">
        <v>657</v>
      </c>
      <c r="C634" s="5" t="s">
        <v>3567</v>
      </c>
      <c r="D634" s="5" t="s">
        <v>729</v>
      </c>
      <c r="E634" s="5" t="s">
        <v>750</v>
      </c>
      <c r="F634" s="5" t="s">
        <v>3568</v>
      </c>
      <c r="G634" s="5" t="s">
        <v>3569</v>
      </c>
      <c r="H634" s="5"/>
      <c r="I634" s="5" t="s">
        <v>785</v>
      </c>
      <c r="J634" s="5" t="s">
        <v>3570</v>
      </c>
    </row>
    <row r="635" customFormat="false" ht="75" hidden="false" customHeight="true" outlineLevel="0" collapsed="false">
      <c r="A635" s="5" t="s">
        <v>3571</v>
      </c>
      <c r="B635" s="5" t="s">
        <v>657</v>
      </c>
      <c r="C635" s="5" t="s">
        <v>3572</v>
      </c>
      <c r="D635" s="5" t="s">
        <v>749</v>
      </c>
      <c r="E635" s="5" t="s">
        <v>782</v>
      </c>
      <c r="F635" s="5" t="s">
        <v>3573</v>
      </c>
      <c r="G635" s="5" t="s">
        <v>3574</v>
      </c>
      <c r="H635" s="5" t="s">
        <v>3035</v>
      </c>
      <c r="I635" s="5" t="s">
        <v>753</v>
      </c>
      <c r="J635" s="5" t="s">
        <v>3575</v>
      </c>
    </row>
    <row r="636" customFormat="false" ht="75" hidden="false" customHeight="true" outlineLevel="0" collapsed="false">
      <c r="A636" s="5" t="s">
        <v>3576</v>
      </c>
      <c r="B636" s="5" t="s">
        <v>657</v>
      </c>
      <c r="C636" s="5" t="s">
        <v>3577</v>
      </c>
      <c r="D636" s="5" t="s">
        <v>749</v>
      </c>
      <c r="E636" s="5" t="s">
        <v>782</v>
      </c>
      <c r="F636" s="5" t="s">
        <v>3578</v>
      </c>
      <c r="G636" s="5" t="s">
        <v>3574</v>
      </c>
      <c r="H636" s="5"/>
      <c r="I636" s="5" t="s">
        <v>785</v>
      </c>
      <c r="J636" s="5" t="s">
        <v>3579</v>
      </c>
    </row>
    <row r="637" customFormat="false" ht="75" hidden="false" customHeight="true" outlineLevel="0" collapsed="false">
      <c r="A637" s="5" t="s">
        <v>3580</v>
      </c>
      <c r="B637" s="5" t="s">
        <v>657</v>
      </c>
      <c r="C637" s="5" t="s">
        <v>3581</v>
      </c>
      <c r="D637" s="5" t="s">
        <v>772</v>
      </c>
      <c r="E637" s="5" t="s">
        <v>782</v>
      </c>
      <c r="F637" s="5" t="s">
        <v>3582</v>
      </c>
      <c r="G637" s="5" t="s">
        <v>3574</v>
      </c>
      <c r="H637" s="5"/>
      <c r="I637" s="5" t="s">
        <v>785</v>
      </c>
      <c r="J637" s="5" t="s">
        <v>3583</v>
      </c>
    </row>
    <row r="638" customFormat="false" ht="75" hidden="false" customHeight="true" outlineLevel="0" collapsed="false">
      <c r="A638" s="5" t="s">
        <v>3584</v>
      </c>
      <c r="B638" s="5" t="s">
        <v>657</v>
      </c>
      <c r="C638" s="5" t="s">
        <v>3585</v>
      </c>
      <c r="D638" s="5" t="s">
        <v>772</v>
      </c>
      <c r="E638" s="5" t="s">
        <v>762</v>
      </c>
      <c r="F638" s="5" t="s">
        <v>3586</v>
      </c>
      <c r="G638" s="5" t="s">
        <v>3587</v>
      </c>
      <c r="H638" s="5" t="s">
        <v>178</v>
      </c>
      <c r="I638" s="5" t="s">
        <v>745</v>
      </c>
      <c r="J638" s="5" t="s">
        <v>765</v>
      </c>
    </row>
    <row r="639" customFormat="false" ht="75" hidden="false" customHeight="true" outlineLevel="0" collapsed="false">
      <c r="A639" s="5" t="s">
        <v>3588</v>
      </c>
      <c r="B639" s="5" t="s">
        <v>657</v>
      </c>
      <c r="C639" s="5" t="s">
        <v>3589</v>
      </c>
      <c r="D639" s="5" t="s">
        <v>772</v>
      </c>
      <c r="E639" s="5" t="s">
        <v>888</v>
      </c>
      <c r="F639" s="5" t="s">
        <v>3590</v>
      </c>
      <c r="G639" s="5" t="s">
        <v>3591</v>
      </c>
      <c r="H639" s="5" t="s">
        <v>122</v>
      </c>
      <c r="I639" s="5" t="s">
        <v>745</v>
      </c>
      <c r="J639" s="5" t="s">
        <v>3592</v>
      </c>
    </row>
    <row r="640" customFormat="false" ht="75" hidden="false" customHeight="true" outlineLevel="0" collapsed="false">
      <c r="A640" s="5" t="s">
        <v>3593</v>
      </c>
      <c r="B640" s="5" t="s">
        <v>657</v>
      </c>
      <c r="C640" s="5" t="s">
        <v>3594</v>
      </c>
      <c r="D640" s="5" t="s">
        <v>772</v>
      </c>
      <c r="E640" s="5" t="s">
        <v>730</v>
      </c>
      <c r="F640" s="5" t="s">
        <v>3595</v>
      </c>
      <c r="G640" s="5" t="s">
        <v>3596</v>
      </c>
      <c r="H640" s="5"/>
      <c r="I640" s="5" t="s">
        <v>745</v>
      </c>
      <c r="J640" s="5" t="s">
        <v>3597</v>
      </c>
    </row>
    <row r="641" customFormat="false" ht="75" hidden="false" customHeight="true" outlineLevel="0" collapsed="false">
      <c r="A641" s="5" t="s">
        <v>3598</v>
      </c>
      <c r="B641" s="5" t="s">
        <v>657</v>
      </c>
      <c r="C641" s="5" t="s">
        <v>3599</v>
      </c>
      <c r="D641" s="5" t="s">
        <v>772</v>
      </c>
      <c r="E641" s="5" t="s">
        <v>782</v>
      </c>
      <c r="F641" s="5" t="s">
        <v>3600</v>
      </c>
      <c r="G641" s="5" t="s">
        <v>3601</v>
      </c>
      <c r="H641" s="5"/>
      <c r="I641" s="5" t="s">
        <v>785</v>
      </c>
      <c r="J641" s="5" t="s">
        <v>3602</v>
      </c>
    </row>
    <row r="642" customFormat="false" ht="75" hidden="false" customHeight="true" outlineLevel="0" collapsed="false">
      <c r="A642" s="5" t="s">
        <v>3603</v>
      </c>
      <c r="B642" s="5" t="s">
        <v>657</v>
      </c>
      <c r="C642" s="5" t="s">
        <v>3604</v>
      </c>
      <c r="D642" s="5" t="s">
        <v>749</v>
      </c>
      <c r="E642" s="5" t="s">
        <v>789</v>
      </c>
      <c r="F642" s="5" t="s">
        <v>3605</v>
      </c>
      <c r="G642" s="5" t="s">
        <v>3606</v>
      </c>
      <c r="H642" s="5"/>
      <c r="I642" s="5" t="s">
        <v>753</v>
      </c>
      <c r="J642" s="5" t="s">
        <v>3607</v>
      </c>
    </row>
    <row r="643" customFormat="false" ht="75" hidden="false" customHeight="true" outlineLevel="0" collapsed="false">
      <c r="A643" s="5" t="s">
        <v>3608</v>
      </c>
      <c r="B643" s="5" t="s">
        <v>657</v>
      </c>
      <c r="C643" s="5" t="s">
        <v>3609</v>
      </c>
      <c r="D643" s="5" t="s">
        <v>729</v>
      </c>
      <c r="E643" s="5" t="s">
        <v>750</v>
      </c>
      <c r="F643" s="5" t="s">
        <v>3610</v>
      </c>
      <c r="G643" s="5" t="s">
        <v>3611</v>
      </c>
      <c r="H643" s="5"/>
      <c r="I643" s="5" t="s">
        <v>745</v>
      </c>
      <c r="J643" s="5" t="s">
        <v>3612</v>
      </c>
    </row>
    <row r="644" customFormat="false" ht="75" hidden="false" customHeight="true" outlineLevel="0" collapsed="false">
      <c r="A644" s="5" t="s">
        <v>3613</v>
      </c>
      <c r="B644" s="5" t="s">
        <v>666</v>
      </c>
      <c r="C644" s="5" t="s">
        <v>3614</v>
      </c>
      <c r="D644" s="5" t="s">
        <v>772</v>
      </c>
      <c r="E644" s="5" t="s">
        <v>730</v>
      </c>
      <c r="F644" s="5" t="s">
        <v>3615</v>
      </c>
      <c r="G644" s="5" t="s">
        <v>3616</v>
      </c>
      <c r="H644" s="5" t="s">
        <v>290</v>
      </c>
      <c r="I644" s="5" t="s">
        <v>734</v>
      </c>
      <c r="J644" s="5" t="s">
        <v>3617</v>
      </c>
    </row>
    <row r="645" customFormat="false" ht="75" hidden="false" customHeight="true" outlineLevel="0" collapsed="false">
      <c r="A645" s="5" t="s">
        <v>3618</v>
      </c>
      <c r="B645" s="5" t="s">
        <v>666</v>
      </c>
      <c r="C645" s="5" t="s">
        <v>3619</v>
      </c>
      <c r="D645" s="5" t="s">
        <v>772</v>
      </c>
      <c r="E645" s="5" t="s">
        <v>782</v>
      </c>
      <c r="F645" s="5" t="s">
        <v>3620</v>
      </c>
      <c r="G645" s="5" t="s">
        <v>3621</v>
      </c>
      <c r="H645" s="5" t="s">
        <v>66</v>
      </c>
      <c r="I645" s="5" t="s">
        <v>753</v>
      </c>
      <c r="J645" s="5" t="s">
        <v>3622</v>
      </c>
    </row>
    <row r="646" customFormat="false" ht="75" hidden="false" customHeight="true" outlineLevel="0" collapsed="false">
      <c r="A646" s="5" t="s">
        <v>3623</v>
      </c>
      <c r="B646" s="5" t="s">
        <v>666</v>
      </c>
      <c r="C646" s="5" t="s">
        <v>3624</v>
      </c>
      <c r="D646" s="5" t="s">
        <v>772</v>
      </c>
      <c r="E646" s="5" t="s">
        <v>782</v>
      </c>
      <c r="F646" s="5" t="s">
        <v>3625</v>
      </c>
      <c r="G646" s="5" t="s">
        <v>3621</v>
      </c>
      <c r="H646" s="5"/>
      <c r="I646" s="5" t="s">
        <v>734</v>
      </c>
      <c r="J646" s="5" t="s">
        <v>3626</v>
      </c>
    </row>
    <row r="647" customFormat="false" ht="75" hidden="false" customHeight="true" outlineLevel="0" collapsed="false">
      <c r="A647" s="5" t="s">
        <v>3627</v>
      </c>
      <c r="B647" s="5" t="s">
        <v>666</v>
      </c>
      <c r="C647" s="5" t="s">
        <v>3628</v>
      </c>
      <c r="D647" s="5" t="s">
        <v>772</v>
      </c>
      <c r="E647" s="5" t="s">
        <v>782</v>
      </c>
      <c r="F647" s="5" t="s">
        <v>3629</v>
      </c>
      <c r="G647" s="5" t="s">
        <v>3621</v>
      </c>
      <c r="H647" s="5"/>
      <c r="I647" s="5" t="s">
        <v>734</v>
      </c>
      <c r="J647" s="5" t="s">
        <v>3630</v>
      </c>
    </row>
    <row r="648" customFormat="false" ht="75" hidden="false" customHeight="true" outlineLevel="0" collapsed="false">
      <c r="A648" s="5" t="s">
        <v>3631</v>
      </c>
      <c r="B648" s="5" t="s">
        <v>666</v>
      </c>
      <c r="C648" s="5" t="s">
        <v>3632</v>
      </c>
      <c r="D648" s="5" t="s">
        <v>772</v>
      </c>
      <c r="E648" s="5" t="s">
        <v>782</v>
      </c>
      <c r="F648" s="5" t="s">
        <v>3633</v>
      </c>
      <c r="G648" s="5" t="s">
        <v>3621</v>
      </c>
      <c r="H648" s="5"/>
      <c r="I648" s="5" t="s">
        <v>745</v>
      </c>
      <c r="J648" s="5" t="s">
        <v>3634</v>
      </c>
    </row>
    <row r="649" customFormat="false" ht="75" hidden="false" customHeight="true" outlineLevel="0" collapsed="false">
      <c r="A649" s="5" t="s">
        <v>3635</v>
      </c>
      <c r="B649" s="5" t="s">
        <v>666</v>
      </c>
      <c r="C649" s="5" t="s">
        <v>3636</v>
      </c>
      <c r="D649" s="5" t="s">
        <v>772</v>
      </c>
      <c r="E649" s="5" t="s">
        <v>762</v>
      </c>
      <c r="F649" s="5" t="s">
        <v>3637</v>
      </c>
      <c r="G649" s="5" t="s">
        <v>3621</v>
      </c>
      <c r="H649" s="5"/>
      <c r="I649" s="5" t="s">
        <v>745</v>
      </c>
      <c r="J649" s="5" t="s">
        <v>765</v>
      </c>
    </row>
    <row r="650" customFormat="false" ht="75" hidden="false" customHeight="true" outlineLevel="0" collapsed="false">
      <c r="A650" s="5" t="s">
        <v>3638</v>
      </c>
      <c r="B650" s="5" t="s">
        <v>666</v>
      </c>
      <c r="C650" s="5" t="s">
        <v>3639</v>
      </c>
      <c r="D650" s="5" t="s">
        <v>772</v>
      </c>
      <c r="E650" s="5" t="s">
        <v>762</v>
      </c>
      <c r="F650" s="5" t="s">
        <v>3640</v>
      </c>
      <c r="G650" s="5" t="s">
        <v>3641</v>
      </c>
      <c r="H650" s="5"/>
      <c r="I650" s="5" t="s">
        <v>745</v>
      </c>
      <c r="J650" s="5" t="s">
        <v>765</v>
      </c>
    </row>
    <row r="651" customFormat="false" ht="75" hidden="false" customHeight="true" outlineLevel="0" collapsed="false">
      <c r="A651" s="5" t="s">
        <v>3642</v>
      </c>
      <c r="B651" s="5" t="s">
        <v>666</v>
      </c>
      <c r="C651" s="5" t="s">
        <v>3643</v>
      </c>
      <c r="D651" s="5" t="s">
        <v>749</v>
      </c>
      <c r="E651" s="5" t="s">
        <v>762</v>
      </c>
      <c r="F651" s="5" t="s">
        <v>3644</v>
      </c>
      <c r="G651" s="5" t="s">
        <v>3641</v>
      </c>
      <c r="H651" s="5" t="s">
        <v>178</v>
      </c>
      <c r="I651" s="5" t="s">
        <v>745</v>
      </c>
      <c r="J651" s="5" t="s">
        <v>765</v>
      </c>
    </row>
    <row r="652" customFormat="false" ht="75" hidden="false" customHeight="true" outlineLevel="0" collapsed="false">
      <c r="A652" s="5" t="s">
        <v>3645</v>
      </c>
      <c r="B652" s="5" t="s">
        <v>666</v>
      </c>
      <c r="C652" s="5" t="s">
        <v>3646</v>
      </c>
      <c r="D652" s="5" t="s">
        <v>772</v>
      </c>
      <c r="E652" s="5" t="s">
        <v>762</v>
      </c>
      <c r="F652" s="5" t="s">
        <v>3647</v>
      </c>
      <c r="G652" s="5" t="s">
        <v>3648</v>
      </c>
      <c r="H652" s="5" t="s">
        <v>49</v>
      </c>
      <c r="I652" s="5" t="s">
        <v>734</v>
      </c>
      <c r="J652" s="5" t="s">
        <v>3649</v>
      </c>
    </row>
    <row r="653" customFormat="false" ht="75" hidden="false" customHeight="true" outlineLevel="0" collapsed="false">
      <c r="A653" s="5" t="s">
        <v>3650</v>
      </c>
      <c r="B653" s="5" t="s">
        <v>666</v>
      </c>
      <c r="C653" s="5" t="s">
        <v>3651</v>
      </c>
      <c r="D653" s="5" t="s">
        <v>772</v>
      </c>
      <c r="E653" s="5" t="s">
        <v>762</v>
      </c>
      <c r="F653" s="5" t="s">
        <v>3652</v>
      </c>
      <c r="G653" s="5" t="s">
        <v>3653</v>
      </c>
      <c r="H653" s="5"/>
      <c r="I653" s="5" t="s">
        <v>734</v>
      </c>
      <c r="J653" s="5" t="s">
        <v>3654</v>
      </c>
    </row>
    <row r="654" customFormat="false" ht="75" hidden="false" customHeight="true" outlineLevel="0" collapsed="false">
      <c r="A654" s="5" t="s">
        <v>3655</v>
      </c>
      <c r="B654" s="5" t="s">
        <v>666</v>
      </c>
      <c r="C654" s="5" t="s">
        <v>3656</v>
      </c>
      <c r="D654" s="5" t="s">
        <v>772</v>
      </c>
      <c r="E654" s="5" t="s">
        <v>924</v>
      </c>
      <c r="F654" s="5" t="s">
        <v>3657</v>
      </c>
      <c r="G654" s="5" t="s">
        <v>3658</v>
      </c>
      <c r="H654" s="5"/>
      <c r="I654" s="5" t="s">
        <v>753</v>
      </c>
      <c r="J654" s="5" t="s">
        <v>3659</v>
      </c>
    </row>
    <row r="655" customFormat="false" ht="75" hidden="false" customHeight="true" outlineLevel="0" collapsed="false">
      <c r="A655" s="5" t="s">
        <v>3660</v>
      </c>
      <c r="B655" s="5" t="s">
        <v>666</v>
      </c>
      <c r="C655" s="5" t="s">
        <v>3661</v>
      </c>
      <c r="D655" s="5" t="s">
        <v>772</v>
      </c>
      <c r="E655" s="5" t="s">
        <v>750</v>
      </c>
      <c r="F655" s="5" t="s">
        <v>3662</v>
      </c>
      <c r="G655" s="5" t="s">
        <v>3663</v>
      </c>
      <c r="H655" s="5" t="s">
        <v>242</v>
      </c>
      <c r="I655" s="5" t="s">
        <v>734</v>
      </c>
      <c r="J655" s="5" t="s">
        <v>3664</v>
      </c>
    </row>
    <row r="656" customFormat="false" ht="75" hidden="false" customHeight="true" outlineLevel="0" collapsed="false">
      <c r="A656" s="5" t="s">
        <v>3665</v>
      </c>
      <c r="B656" s="5" t="s">
        <v>675</v>
      </c>
      <c r="C656" s="5" t="s">
        <v>3666</v>
      </c>
      <c r="D656" s="5" t="s">
        <v>772</v>
      </c>
      <c r="E656" s="5" t="s">
        <v>730</v>
      </c>
      <c r="F656" s="5" t="s">
        <v>3667</v>
      </c>
      <c r="G656" s="5" t="s">
        <v>3668</v>
      </c>
      <c r="H656" s="5" t="s">
        <v>57</v>
      </c>
      <c r="I656" s="5" t="s">
        <v>734</v>
      </c>
      <c r="J656" s="5" t="s">
        <v>3669</v>
      </c>
    </row>
    <row r="657" customFormat="false" ht="75" hidden="false" customHeight="true" outlineLevel="0" collapsed="false">
      <c r="A657" s="5" t="s">
        <v>3670</v>
      </c>
      <c r="B657" s="5" t="s">
        <v>675</v>
      </c>
      <c r="C657" s="5" t="s">
        <v>3671</v>
      </c>
      <c r="D657" s="5" t="s">
        <v>772</v>
      </c>
      <c r="E657" s="5" t="s">
        <v>730</v>
      </c>
      <c r="F657" s="5" t="s">
        <v>3672</v>
      </c>
      <c r="G657" s="5" t="s">
        <v>3673</v>
      </c>
      <c r="H657" s="5" t="s">
        <v>170</v>
      </c>
      <c r="I657" s="5" t="s">
        <v>745</v>
      </c>
      <c r="J657" s="5" t="s">
        <v>3674</v>
      </c>
    </row>
    <row r="658" customFormat="false" ht="75" hidden="false" customHeight="true" outlineLevel="0" collapsed="false">
      <c r="A658" s="5" t="s">
        <v>3675</v>
      </c>
      <c r="B658" s="5" t="s">
        <v>675</v>
      </c>
      <c r="C658" s="5" t="s">
        <v>3676</v>
      </c>
      <c r="D658" s="5" t="s">
        <v>729</v>
      </c>
      <c r="E658" s="5" t="s">
        <v>730</v>
      </c>
      <c r="F658" s="5" t="s">
        <v>3677</v>
      </c>
      <c r="G658" s="5" t="s">
        <v>3678</v>
      </c>
      <c r="H658" s="5" t="s">
        <v>130</v>
      </c>
      <c r="I658" s="5" t="s">
        <v>745</v>
      </c>
      <c r="J658" s="5" t="s">
        <v>3679</v>
      </c>
    </row>
    <row r="659" customFormat="false" ht="75" hidden="false" customHeight="true" outlineLevel="0" collapsed="false">
      <c r="A659" s="5" t="s">
        <v>3680</v>
      </c>
      <c r="B659" s="5" t="s">
        <v>675</v>
      </c>
      <c r="C659" s="5" t="s">
        <v>3681</v>
      </c>
      <c r="D659" s="5" t="s">
        <v>729</v>
      </c>
      <c r="E659" s="5" t="s">
        <v>730</v>
      </c>
      <c r="F659" s="5" t="s">
        <v>3682</v>
      </c>
      <c r="G659" s="5" t="s">
        <v>3683</v>
      </c>
      <c r="H659" s="5"/>
      <c r="I659" s="5" t="s">
        <v>745</v>
      </c>
      <c r="J659" s="5" t="s">
        <v>3684</v>
      </c>
    </row>
    <row r="660" customFormat="false" ht="75" hidden="false" customHeight="true" outlineLevel="0" collapsed="false">
      <c r="A660" s="5" t="s">
        <v>3685</v>
      </c>
      <c r="B660" s="5" t="s">
        <v>675</v>
      </c>
      <c r="C660" s="5" t="s">
        <v>3686</v>
      </c>
      <c r="D660" s="5" t="s">
        <v>729</v>
      </c>
      <c r="E660" s="5" t="s">
        <v>730</v>
      </c>
      <c r="F660" s="5" t="s">
        <v>3687</v>
      </c>
      <c r="G660" s="5" t="s">
        <v>3688</v>
      </c>
      <c r="H660" s="5" t="s">
        <v>138</v>
      </c>
      <c r="I660" s="5" t="s">
        <v>753</v>
      </c>
      <c r="J660" s="5" t="s">
        <v>3689</v>
      </c>
    </row>
    <row r="661" customFormat="false" ht="75" hidden="false" customHeight="true" outlineLevel="0" collapsed="false">
      <c r="A661" s="5" t="s">
        <v>3690</v>
      </c>
      <c r="B661" s="5" t="s">
        <v>675</v>
      </c>
      <c r="C661" s="5" t="s">
        <v>3691</v>
      </c>
      <c r="D661" s="5" t="s">
        <v>772</v>
      </c>
      <c r="E661" s="5" t="s">
        <v>782</v>
      </c>
      <c r="F661" s="5" t="s">
        <v>3692</v>
      </c>
      <c r="G661" s="5" t="s">
        <v>3693</v>
      </c>
      <c r="H661" s="5" t="s">
        <v>3694</v>
      </c>
      <c r="I661" s="5" t="s">
        <v>734</v>
      </c>
      <c r="J661" s="5" t="s">
        <v>3695</v>
      </c>
    </row>
    <row r="662" customFormat="false" ht="75" hidden="false" customHeight="true" outlineLevel="0" collapsed="false">
      <c r="A662" s="5" t="s">
        <v>3696</v>
      </c>
      <c r="B662" s="5" t="s">
        <v>675</v>
      </c>
      <c r="C662" s="5" t="s">
        <v>3697</v>
      </c>
      <c r="D662" s="5" t="s">
        <v>772</v>
      </c>
      <c r="E662" s="5" t="s">
        <v>782</v>
      </c>
      <c r="F662" s="5" t="s">
        <v>3698</v>
      </c>
      <c r="G662" s="5" t="s">
        <v>3693</v>
      </c>
      <c r="H662" s="5"/>
      <c r="I662" s="5" t="s">
        <v>785</v>
      </c>
      <c r="J662" s="5" t="s">
        <v>3699</v>
      </c>
    </row>
    <row r="663" customFormat="false" ht="75" hidden="false" customHeight="true" outlineLevel="0" collapsed="false">
      <c r="A663" s="5" t="s">
        <v>3700</v>
      </c>
      <c r="B663" s="5" t="s">
        <v>675</v>
      </c>
      <c r="C663" s="5" t="s">
        <v>2653</v>
      </c>
      <c r="D663" s="5" t="s">
        <v>772</v>
      </c>
      <c r="E663" s="5" t="s">
        <v>782</v>
      </c>
      <c r="F663" s="5" t="s">
        <v>3701</v>
      </c>
      <c r="G663" s="5" t="s">
        <v>3693</v>
      </c>
      <c r="H663" s="5"/>
      <c r="I663" s="5" t="s">
        <v>734</v>
      </c>
      <c r="J663" s="5" t="s">
        <v>3702</v>
      </c>
    </row>
    <row r="664" customFormat="false" ht="75" hidden="false" customHeight="true" outlineLevel="0" collapsed="false">
      <c r="A664" s="5" t="s">
        <v>3703</v>
      </c>
      <c r="B664" s="5" t="s">
        <v>675</v>
      </c>
      <c r="C664" s="5" t="s">
        <v>3704</v>
      </c>
      <c r="D664" s="5" t="s">
        <v>772</v>
      </c>
      <c r="E664" s="5" t="s">
        <v>782</v>
      </c>
      <c r="F664" s="5" t="s">
        <v>3705</v>
      </c>
      <c r="G664" s="5" t="s">
        <v>3693</v>
      </c>
      <c r="H664" s="5" t="s">
        <v>49</v>
      </c>
      <c r="I664" s="5" t="s">
        <v>734</v>
      </c>
      <c r="J664" s="5" t="s">
        <v>3706</v>
      </c>
    </row>
    <row r="665" customFormat="false" ht="75" hidden="false" customHeight="true" outlineLevel="0" collapsed="false">
      <c r="A665" s="5" t="s">
        <v>3707</v>
      </c>
      <c r="B665" s="5" t="s">
        <v>675</v>
      </c>
      <c r="C665" s="5" t="s">
        <v>3708</v>
      </c>
      <c r="D665" s="5" t="s">
        <v>772</v>
      </c>
      <c r="E665" s="5" t="s">
        <v>888</v>
      </c>
      <c r="F665" s="5" t="s">
        <v>3709</v>
      </c>
      <c r="G665" s="5" t="s">
        <v>3693</v>
      </c>
      <c r="H665" s="5"/>
      <c r="I665" s="5" t="s">
        <v>745</v>
      </c>
      <c r="J665" s="5" t="s">
        <v>2947</v>
      </c>
    </row>
    <row r="666" customFormat="false" ht="75" hidden="false" customHeight="true" outlineLevel="0" collapsed="false">
      <c r="A666" s="5" t="s">
        <v>3710</v>
      </c>
      <c r="B666" s="5" t="s">
        <v>675</v>
      </c>
      <c r="C666" s="5" t="s">
        <v>3711</v>
      </c>
      <c r="D666" s="5" t="s">
        <v>772</v>
      </c>
      <c r="E666" s="5" t="s">
        <v>782</v>
      </c>
      <c r="F666" s="5" t="s">
        <v>3712</v>
      </c>
      <c r="G666" s="5" t="s">
        <v>3693</v>
      </c>
      <c r="H666" s="5" t="s">
        <v>114</v>
      </c>
      <c r="I666" s="5" t="s">
        <v>785</v>
      </c>
      <c r="J666" s="5" t="s">
        <v>3713</v>
      </c>
    </row>
    <row r="667" customFormat="false" ht="75" hidden="false" customHeight="true" outlineLevel="0" collapsed="false">
      <c r="A667" s="5" t="s">
        <v>3714</v>
      </c>
      <c r="B667" s="5" t="s">
        <v>675</v>
      </c>
      <c r="C667" s="5" t="s">
        <v>3715</v>
      </c>
      <c r="D667" s="5" t="s">
        <v>772</v>
      </c>
      <c r="E667" s="5" t="s">
        <v>789</v>
      </c>
      <c r="F667" s="5" t="s">
        <v>3716</v>
      </c>
      <c r="G667" s="5" t="s">
        <v>3717</v>
      </c>
      <c r="H667" s="5"/>
      <c r="I667" s="5" t="s">
        <v>753</v>
      </c>
      <c r="J667" s="5" t="s">
        <v>3718</v>
      </c>
    </row>
    <row r="668" customFormat="false" ht="75" hidden="false" customHeight="true" outlineLevel="0" collapsed="false">
      <c r="A668" s="5" t="s">
        <v>3719</v>
      </c>
      <c r="B668" s="5" t="s">
        <v>675</v>
      </c>
      <c r="C668" s="5" t="s">
        <v>2638</v>
      </c>
      <c r="D668" s="5" t="s">
        <v>772</v>
      </c>
      <c r="E668" s="5" t="s">
        <v>782</v>
      </c>
      <c r="F668" s="5" t="s">
        <v>3720</v>
      </c>
      <c r="G668" s="5" t="s">
        <v>3721</v>
      </c>
      <c r="H668" s="5"/>
      <c r="I668" s="5" t="s">
        <v>734</v>
      </c>
      <c r="J668" s="5" t="s">
        <v>2079</v>
      </c>
    </row>
    <row r="669" customFormat="false" ht="75" hidden="false" customHeight="true" outlineLevel="0" collapsed="false">
      <c r="A669" s="5" t="s">
        <v>3722</v>
      </c>
      <c r="B669" s="5" t="s">
        <v>675</v>
      </c>
      <c r="C669" s="5" t="s">
        <v>3723</v>
      </c>
      <c r="D669" s="5" t="s">
        <v>772</v>
      </c>
      <c r="E669" s="5" t="s">
        <v>762</v>
      </c>
      <c r="F669" s="5" t="s">
        <v>3724</v>
      </c>
      <c r="G669" s="5" t="s">
        <v>3725</v>
      </c>
      <c r="H669" s="5"/>
      <c r="I669" s="5" t="s">
        <v>745</v>
      </c>
      <c r="J669" s="5" t="s">
        <v>765</v>
      </c>
    </row>
    <row r="670" customFormat="false" ht="75" hidden="false" customHeight="true" outlineLevel="0" collapsed="false">
      <c r="A670" s="5" t="s">
        <v>3726</v>
      </c>
      <c r="B670" s="5" t="s">
        <v>675</v>
      </c>
      <c r="C670" s="5" t="s">
        <v>3727</v>
      </c>
      <c r="D670" s="5" t="s">
        <v>772</v>
      </c>
      <c r="E670" s="5" t="s">
        <v>762</v>
      </c>
      <c r="F670" s="5" t="s">
        <v>3728</v>
      </c>
      <c r="G670" s="5" t="s">
        <v>3729</v>
      </c>
      <c r="H670" s="5" t="s">
        <v>178</v>
      </c>
      <c r="I670" s="5" t="s">
        <v>745</v>
      </c>
      <c r="J670" s="5" t="s">
        <v>765</v>
      </c>
    </row>
    <row r="671" customFormat="false" ht="75" hidden="false" customHeight="true" outlineLevel="0" collapsed="false">
      <c r="A671" s="5" t="s">
        <v>3730</v>
      </c>
      <c r="B671" s="5" t="s">
        <v>675</v>
      </c>
      <c r="C671" s="5" t="s">
        <v>3731</v>
      </c>
      <c r="D671" s="5" t="s">
        <v>772</v>
      </c>
      <c r="E671" s="5" t="s">
        <v>924</v>
      </c>
      <c r="F671" s="5" t="s">
        <v>3732</v>
      </c>
      <c r="G671" s="5" t="s">
        <v>3733</v>
      </c>
      <c r="H671" s="5"/>
      <c r="I671" s="5" t="s">
        <v>785</v>
      </c>
      <c r="J671" s="5" t="s">
        <v>3734</v>
      </c>
    </row>
    <row r="672" customFormat="false" ht="75" hidden="false" customHeight="true" outlineLevel="0" collapsed="false">
      <c r="A672" s="5" t="s">
        <v>3735</v>
      </c>
      <c r="B672" s="5" t="s">
        <v>675</v>
      </c>
      <c r="C672" s="5" t="s">
        <v>3736</v>
      </c>
      <c r="D672" s="5" t="s">
        <v>729</v>
      </c>
      <c r="E672" s="5" t="s">
        <v>750</v>
      </c>
      <c r="F672" s="5" t="s">
        <v>3737</v>
      </c>
      <c r="G672" s="5" t="s">
        <v>3738</v>
      </c>
      <c r="H672" s="5" t="s">
        <v>242</v>
      </c>
      <c r="I672" s="5" t="s">
        <v>734</v>
      </c>
      <c r="J672" s="5" t="s">
        <v>3739</v>
      </c>
    </row>
    <row r="673" customFormat="false" ht="75" hidden="false" customHeight="true" outlineLevel="0" collapsed="false">
      <c r="A673" s="5" t="s">
        <v>3740</v>
      </c>
      <c r="B673" s="5" t="s">
        <v>684</v>
      </c>
      <c r="C673" s="5" t="s">
        <v>3741</v>
      </c>
      <c r="D673" s="5" t="s">
        <v>772</v>
      </c>
      <c r="E673" s="5" t="s">
        <v>782</v>
      </c>
      <c r="F673" s="5" t="s">
        <v>3742</v>
      </c>
      <c r="G673" s="5" t="s">
        <v>3743</v>
      </c>
      <c r="H673" s="5" t="s">
        <v>49</v>
      </c>
      <c r="I673" s="5" t="s">
        <v>734</v>
      </c>
      <c r="J673" s="5" t="s">
        <v>3744</v>
      </c>
    </row>
    <row r="674" customFormat="false" ht="75" hidden="false" customHeight="true" outlineLevel="0" collapsed="false">
      <c r="A674" s="5" t="s">
        <v>3745</v>
      </c>
      <c r="B674" s="5" t="s">
        <v>684</v>
      </c>
      <c r="C674" s="5" t="s">
        <v>3746</v>
      </c>
      <c r="D674" s="5" t="s">
        <v>772</v>
      </c>
      <c r="E674" s="5" t="s">
        <v>782</v>
      </c>
      <c r="F674" s="5" t="s">
        <v>3747</v>
      </c>
      <c r="G674" s="5" t="s">
        <v>3743</v>
      </c>
      <c r="H674" s="5"/>
      <c r="I674" s="5" t="s">
        <v>785</v>
      </c>
      <c r="J674" s="5" t="s">
        <v>3748</v>
      </c>
    </row>
    <row r="675" customFormat="false" ht="75" hidden="false" customHeight="true" outlineLevel="0" collapsed="false">
      <c r="A675" s="5" t="s">
        <v>3749</v>
      </c>
      <c r="B675" s="5" t="s">
        <v>684</v>
      </c>
      <c r="C675" s="5" t="s">
        <v>2638</v>
      </c>
      <c r="D675" s="5" t="s">
        <v>772</v>
      </c>
      <c r="E675" s="5" t="s">
        <v>782</v>
      </c>
      <c r="F675" s="5" t="s">
        <v>3750</v>
      </c>
      <c r="G675" s="5" t="s">
        <v>3743</v>
      </c>
      <c r="H675" s="5" t="s">
        <v>250</v>
      </c>
      <c r="I675" s="5" t="s">
        <v>734</v>
      </c>
      <c r="J675" s="5" t="s">
        <v>2079</v>
      </c>
    </row>
    <row r="676" customFormat="false" ht="75" hidden="false" customHeight="true" outlineLevel="0" collapsed="false">
      <c r="A676" s="5" t="s">
        <v>3751</v>
      </c>
      <c r="B676" s="5" t="s">
        <v>684</v>
      </c>
      <c r="C676" s="5" t="s">
        <v>3752</v>
      </c>
      <c r="D676" s="5" t="s">
        <v>749</v>
      </c>
      <c r="E676" s="5" t="s">
        <v>730</v>
      </c>
      <c r="F676" s="5" t="s">
        <v>3753</v>
      </c>
      <c r="G676" s="5" t="s">
        <v>3754</v>
      </c>
      <c r="H676" s="5" t="s">
        <v>57</v>
      </c>
      <c r="I676" s="5" t="s">
        <v>734</v>
      </c>
      <c r="J676" s="5" t="s">
        <v>3755</v>
      </c>
    </row>
    <row r="677" customFormat="false" ht="75" hidden="false" customHeight="true" outlineLevel="0" collapsed="false">
      <c r="A677" s="5" t="s">
        <v>3756</v>
      </c>
      <c r="B677" s="5" t="s">
        <v>684</v>
      </c>
      <c r="C677" s="5" t="s">
        <v>3757</v>
      </c>
      <c r="D677" s="5" t="s">
        <v>729</v>
      </c>
      <c r="E677" s="5" t="s">
        <v>730</v>
      </c>
      <c r="F677" s="5" t="s">
        <v>3758</v>
      </c>
      <c r="G677" s="5" t="s">
        <v>3759</v>
      </c>
      <c r="H677" s="5"/>
      <c r="I677" s="5" t="s">
        <v>745</v>
      </c>
      <c r="J677" s="5" t="s">
        <v>3760</v>
      </c>
    </row>
    <row r="678" customFormat="false" ht="75" hidden="false" customHeight="true" outlineLevel="0" collapsed="false">
      <c r="A678" s="5" t="s">
        <v>3761</v>
      </c>
      <c r="B678" s="5" t="s">
        <v>684</v>
      </c>
      <c r="C678" s="5" t="s">
        <v>3762</v>
      </c>
      <c r="D678" s="5" t="s">
        <v>749</v>
      </c>
      <c r="E678" s="5" t="s">
        <v>762</v>
      </c>
      <c r="F678" s="5" t="s">
        <v>3763</v>
      </c>
      <c r="G678" s="5" t="s">
        <v>3764</v>
      </c>
      <c r="H678" s="5" t="s">
        <v>178</v>
      </c>
      <c r="I678" s="5" t="s">
        <v>745</v>
      </c>
      <c r="J678" s="5" t="s">
        <v>765</v>
      </c>
    </row>
    <row r="679" customFormat="false" ht="75" hidden="false" customHeight="true" outlineLevel="0" collapsed="false">
      <c r="A679" s="5" t="s">
        <v>3765</v>
      </c>
      <c r="B679" s="5" t="s">
        <v>684</v>
      </c>
      <c r="C679" s="5" t="s">
        <v>3766</v>
      </c>
      <c r="D679" s="5" t="s">
        <v>729</v>
      </c>
      <c r="E679" s="5" t="s">
        <v>730</v>
      </c>
      <c r="F679" s="5" t="s">
        <v>3767</v>
      </c>
      <c r="G679" s="5" t="s">
        <v>3768</v>
      </c>
      <c r="H679" s="5" t="s">
        <v>138</v>
      </c>
      <c r="I679" s="5" t="s">
        <v>753</v>
      </c>
      <c r="J679" s="5" t="s">
        <v>3769</v>
      </c>
    </row>
    <row r="680" customFormat="false" ht="75" hidden="false" customHeight="true" outlineLevel="0" collapsed="false">
      <c r="A680" s="5" t="s">
        <v>3770</v>
      </c>
      <c r="B680" s="5" t="s">
        <v>684</v>
      </c>
      <c r="C680" s="5" t="s">
        <v>3771</v>
      </c>
      <c r="D680" s="5" t="s">
        <v>729</v>
      </c>
      <c r="E680" s="5" t="s">
        <v>750</v>
      </c>
      <c r="F680" s="5" t="s">
        <v>3772</v>
      </c>
      <c r="G680" s="5" t="s">
        <v>3773</v>
      </c>
      <c r="H680" s="5" t="s">
        <v>282</v>
      </c>
      <c r="I680" s="5" t="s">
        <v>753</v>
      </c>
      <c r="J680" s="5" t="s">
        <v>3774</v>
      </c>
    </row>
    <row r="681" customFormat="false" ht="75" hidden="false" customHeight="true" outlineLevel="0" collapsed="false">
      <c r="A681" s="5" t="s">
        <v>3775</v>
      </c>
      <c r="B681" s="5" t="s">
        <v>692</v>
      </c>
      <c r="C681" s="5" t="s">
        <v>2521</v>
      </c>
      <c r="D681" s="5" t="s">
        <v>749</v>
      </c>
      <c r="E681" s="5" t="s">
        <v>730</v>
      </c>
      <c r="F681" s="5" t="s">
        <v>3776</v>
      </c>
      <c r="G681" s="5" t="s">
        <v>3777</v>
      </c>
      <c r="H681" s="5"/>
      <c r="I681" s="5" t="s">
        <v>734</v>
      </c>
      <c r="J681" s="5" t="s">
        <v>973</v>
      </c>
    </row>
    <row r="682" customFormat="false" ht="75" hidden="false" customHeight="true" outlineLevel="0" collapsed="false">
      <c r="A682" s="5" t="s">
        <v>3778</v>
      </c>
      <c r="B682" s="5" t="s">
        <v>692</v>
      </c>
      <c r="C682" s="5" t="s">
        <v>3779</v>
      </c>
      <c r="D682" s="5" t="s">
        <v>729</v>
      </c>
      <c r="E682" s="5" t="s">
        <v>730</v>
      </c>
      <c r="F682" s="5" t="s">
        <v>3780</v>
      </c>
      <c r="G682" s="5" t="s">
        <v>3781</v>
      </c>
      <c r="H682" s="5"/>
      <c r="I682" s="5" t="s">
        <v>745</v>
      </c>
      <c r="J682" s="5" t="s">
        <v>3782</v>
      </c>
    </row>
    <row r="683" customFormat="false" ht="75" hidden="false" customHeight="true" outlineLevel="0" collapsed="false">
      <c r="A683" s="5" t="s">
        <v>3783</v>
      </c>
      <c r="B683" s="5" t="s">
        <v>692</v>
      </c>
      <c r="C683" s="5" t="s">
        <v>3784</v>
      </c>
      <c r="D683" s="5" t="s">
        <v>772</v>
      </c>
      <c r="E683" s="5" t="s">
        <v>782</v>
      </c>
      <c r="F683" s="5" t="s">
        <v>3785</v>
      </c>
      <c r="G683" s="5" t="s">
        <v>3786</v>
      </c>
      <c r="H683" s="5" t="s">
        <v>23</v>
      </c>
      <c r="I683" s="5" t="s">
        <v>734</v>
      </c>
      <c r="J683" s="5" t="s">
        <v>3787</v>
      </c>
    </row>
    <row r="684" customFormat="false" ht="75" hidden="false" customHeight="true" outlineLevel="0" collapsed="false">
      <c r="A684" s="5" t="s">
        <v>3788</v>
      </c>
      <c r="B684" s="5" t="s">
        <v>692</v>
      </c>
      <c r="C684" s="5" t="s">
        <v>3789</v>
      </c>
      <c r="D684" s="5" t="s">
        <v>772</v>
      </c>
      <c r="E684" s="5" t="s">
        <v>782</v>
      </c>
      <c r="F684" s="5" t="s">
        <v>3790</v>
      </c>
      <c r="G684" s="5" t="s">
        <v>3791</v>
      </c>
      <c r="H684" s="5"/>
      <c r="I684" s="5" t="s">
        <v>753</v>
      </c>
      <c r="J684" s="5" t="s">
        <v>3792</v>
      </c>
    </row>
    <row r="685" customFormat="false" ht="75" hidden="false" customHeight="true" outlineLevel="0" collapsed="false">
      <c r="A685" s="5" t="s">
        <v>3793</v>
      </c>
      <c r="B685" s="5" t="s">
        <v>692</v>
      </c>
      <c r="C685" s="5" t="s">
        <v>3794</v>
      </c>
      <c r="D685" s="5" t="s">
        <v>772</v>
      </c>
      <c r="E685" s="5" t="s">
        <v>782</v>
      </c>
      <c r="F685" s="5" t="s">
        <v>3795</v>
      </c>
      <c r="G685" s="5" t="s">
        <v>3791</v>
      </c>
      <c r="H685" s="5" t="s">
        <v>266</v>
      </c>
      <c r="I685" s="5" t="s">
        <v>753</v>
      </c>
      <c r="J685" s="5" t="s">
        <v>2892</v>
      </c>
    </row>
    <row r="686" customFormat="false" ht="75" hidden="false" customHeight="true" outlineLevel="0" collapsed="false">
      <c r="A686" s="5" t="s">
        <v>3796</v>
      </c>
      <c r="B686" s="5" t="s">
        <v>692</v>
      </c>
      <c r="C686" s="5" t="s">
        <v>3797</v>
      </c>
      <c r="D686" s="5" t="s">
        <v>772</v>
      </c>
      <c r="E686" s="5" t="s">
        <v>782</v>
      </c>
      <c r="F686" s="5" t="s">
        <v>3798</v>
      </c>
      <c r="G686" s="5" t="s">
        <v>3791</v>
      </c>
      <c r="H686" s="5" t="s">
        <v>49</v>
      </c>
      <c r="I686" s="5" t="s">
        <v>734</v>
      </c>
      <c r="J686" s="5" t="s">
        <v>994</v>
      </c>
    </row>
    <row r="687" customFormat="false" ht="75" hidden="false" customHeight="true" outlineLevel="0" collapsed="false">
      <c r="A687" s="5" t="s">
        <v>3799</v>
      </c>
      <c r="B687" s="5" t="s">
        <v>692</v>
      </c>
      <c r="C687" s="5" t="s">
        <v>3800</v>
      </c>
      <c r="D687" s="5" t="s">
        <v>772</v>
      </c>
      <c r="E687" s="5" t="s">
        <v>782</v>
      </c>
      <c r="F687" s="5" t="s">
        <v>3801</v>
      </c>
      <c r="G687" s="5" t="s">
        <v>3791</v>
      </c>
      <c r="H687" s="5"/>
      <c r="I687" s="5" t="s">
        <v>734</v>
      </c>
      <c r="J687" s="5" t="s">
        <v>3802</v>
      </c>
    </row>
    <row r="688" customFormat="false" ht="75" hidden="false" customHeight="true" outlineLevel="0" collapsed="false">
      <c r="A688" s="5" t="s">
        <v>3803</v>
      </c>
      <c r="B688" s="5" t="s">
        <v>692</v>
      </c>
      <c r="C688" s="5" t="s">
        <v>3804</v>
      </c>
      <c r="D688" s="5" t="s">
        <v>749</v>
      </c>
      <c r="E688" s="5" t="s">
        <v>762</v>
      </c>
      <c r="F688" s="5" t="s">
        <v>3805</v>
      </c>
      <c r="G688" s="5" t="s">
        <v>3806</v>
      </c>
      <c r="H688" s="5" t="s">
        <v>178</v>
      </c>
      <c r="I688" s="5" t="s">
        <v>745</v>
      </c>
      <c r="J688" s="5" t="s">
        <v>765</v>
      </c>
    </row>
    <row r="689" customFormat="false" ht="75" hidden="false" customHeight="true" outlineLevel="0" collapsed="false">
      <c r="A689" s="5" t="s">
        <v>3807</v>
      </c>
      <c r="B689" s="5" t="s">
        <v>692</v>
      </c>
      <c r="C689" s="5" t="s">
        <v>3808</v>
      </c>
      <c r="D689" s="5" t="s">
        <v>749</v>
      </c>
      <c r="E689" s="5" t="s">
        <v>762</v>
      </c>
      <c r="F689" s="5" t="s">
        <v>3809</v>
      </c>
      <c r="G689" s="5" t="s">
        <v>3810</v>
      </c>
      <c r="H689" s="5"/>
      <c r="I689" s="5" t="s">
        <v>734</v>
      </c>
      <c r="J689" s="5" t="s">
        <v>3811</v>
      </c>
    </row>
    <row r="690" customFormat="false" ht="75" hidden="false" customHeight="true" outlineLevel="0" collapsed="false">
      <c r="A690" s="5" t="s">
        <v>3812</v>
      </c>
      <c r="B690" s="5" t="s">
        <v>692</v>
      </c>
      <c r="C690" s="5" t="s">
        <v>3813</v>
      </c>
      <c r="D690" s="5" t="s">
        <v>772</v>
      </c>
      <c r="E690" s="5" t="s">
        <v>789</v>
      </c>
      <c r="F690" s="5" t="s">
        <v>3814</v>
      </c>
      <c r="G690" s="5" t="s">
        <v>3815</v>
      </c>
      <c r="H690" s="5" t="s">
        <v>3816</v>
      </c>
      <c r="I690" s="5" t="s">
        <v>753</v>
      </c>
      <c r="J690" s="5" t="s">
        <v>3817</v>
      </c>
    </row>
    <row r="691" customFormat="false" ht="75" hidden="false" customHeight="true" outlineLevel="0" collapsed="false">
      <c r="A691" s="5" t="s">
        <v>3818</v>
      </c>
      <c r="B691" s="5" t="s">
        <v>692</v>
      </c>
      <c r="C691" s="5" t="s">
        <v>3819</v>
      </c>
      <c r="D691" s="5" t="s">
        <v>729</v>
      </c>
      <c r="E691" s="5" t="s">
        <v>750</v>
      </c>
      <c r="F691" s="5" t="s">
        <v>3820</v>
      </c>
      <c r="G691" s="5" t="s">
        <v>3821</v>
      </c>
      <c r="H691" s="5" t="s">
        <v>3822</v>
      </c>
      <c r="I691" s="5" t="s">
        <v>745</v>
      </c>
      <c r="J691" s="5" t="s">
        <v>3823</v>
      </c>
    </row>
    <row r="692" customFormat="false" ht="75" hidden="false" customHeight="true" outlineLevel="0" collapsed="false">
      <c r="A692" s="5" t="s">
        <v>3824</v>
      </c>
      <c r="B692" s="5" t="s">
        <v>701</v>
      </c>
      <c r="C692" s="5" t="s">
        <v>1222</v>
      </c>
      <c r="D692" s="5" t="s">
        <v>729</v>
      </c>
      <c r="E692" s="5" t="s">
        <v>730</v>
      </c>
      <c r="F692" s="5" t="s">
        <v>3825</v>
      </c>
      <c r="G692" s="5" t="s">
        <v>3826</v>
      </c>
      <c r="H692" s="5" t="s">
        <v>130</v>
      </c>
      <c r="I692" s="5" t="s">
        <v>745</v>
      </c>
      <c r="J692" s="5" t="s">
        <v>3827</v>
      </c>
    </row>
    <row r="693" customFormat="false" ht="75" hidden="false" customHeight="true" outlineLevel="0" collapsed="false">
      <c r="A693" s="5" t="s">
        <v>3828</v>
      </c>
      <c r="B693" s="5" t="s">
        <v>701</v>
      </c>
      <c r="C693" s="5" t="s">
        <v>3829</v>
      </c>
      <c r="D693" s="5" t="s">
        <v>729</v>
      </c>
      <c r="E693" s="5" t="s">
        <v>730</v>
      </c>
      <c r="F693" s="5" t="s">
        <v>3830</v>
      </c>
      <c r="G693" s="5" t="s">
        <v>3831</v>
      </c>
      <c r="H693" s="5"/>
      <c r="I693" s="5" t="s">
        <v>745</v>
      </c>
      <c r="J693" s="5" t="s">
        <v>3832</v>
      </c>
    </row>
    <row r="694" customFormat="false" ht="75" hidden="false" customHeight="true" outlineLevel="0" collapsed="false">
      <c r="A694" s="5" t="s">
        <v>3833</v>
      </c>
      <c r="B694" s="5" t="s">
        <v>701</v>
      </c>
      <c r="C694" s="5" t="s">
        <v>3834</v>
      </c>
      <c r="D694" s="5" t="s">
        <v>749</v>
      </c>
      <c r="E694" s="5" t="s">
        <v>924</v>
      </c>
      <c r="F694" s="5" t="s">
        <v>3835</v>
      </c>
      <c r="G694" s="5" t="s">
        <v>3826</v>
      </c>
      <c r="H694" s="5"/>
      <c r="I694" s="5" t="s">
        <v>745</v>
      </c>
      <c r="J694" s="5" t="s">
        <v>3836</v>
      </c>
    </row>
    <row r="695" customFormat="false" ht="75" hidden="false" customHeight="true" outlineLevel="0" collapsed="false">
      <c r="A695" s="5" t="s">
        <v>3837</v>
      </c>
      <c r="B695" s="5" t="s">
        <v>701</v>
      </c>
      <c r="C695" s="5" t="s">
        <v>3838</v>
      </c>
      <c r="D695" s="5" t="s">
        <v>729</v>
      </c>
      <c r="E695" s="5" t="s">
        <v>924</v>
      </c>
      <c r="F695" s="5" t="s">
        <v>3839</v>
      </c>
      <c r="G695" s="5" t="s">
        <v>3840</v>
      </c>
      <c r="H695" s="5" t="s">
        <v>138</v>
      </c>
      <c r="I695" s="5" t="s">
        <v>753</v>
      </c>
      <c r="J695" s="5" t="s">
        <v>3841</v>
      </c>
    </row>
    <row r="696" customFormat="false" ht="75" hidden="false" customHeight="true" outlineLevel="0" collapsed="false">
      <c r="A696" s="5" t="s">
        <v>3842</v>
      </c>
      <c r="B696" s="5" t="s">
        <v>701</v>
      </c>
      <c r="C696" s="5" t="s">
        <v>3843</v>
      </c>
      <c r="D696" s="5" t="s">
        <v>772</v>
      </c>
      <c r="E696" s="5" t="s">
        <v>782</v>
      </c>
      <c r="F696" s="5" t="s">
        <v>3844</v>
      </c>
      <c r="G696" s="5" t="s">
        <v>3845</v>
      </c>
      <c r="H696" s="5" t="s">
        <v>178</v>
      </c>
      <c r="I696" s="5" t="s">
        <v>745</v>
      </c>
      <c r="J696" s="5" t="s">
        <v>765</v>
      </c>
    </row>
    <row r="697" customFormat="false" ht="75" hidden="false" customHeight="true" outlineLevel="0" collapsed="false">
      <c r="A697" s="5" t="s">
        <v>3846</v>
      </c>
      <c r="B697" s="5" t="s">
        <v>701</v>
      </c>
      <c r="C697" s="5" t="s">
        <v>3847</v>
      </c>
      <c r="D697" s="5" t="s">
        <v>772</v>
      </c>
      <c r="E697" s="5" t="s">
        <v>762</v>
      </c>
      <c r="F697" s="5" t="s">
        <v>3848</v>
      </c>
      <c r="G697" s="5" t="s">
        <v>3849</v>
      </c>
      <c r="H697" s="5"/>
      <c r="I697" s="5" t="s">
        <v>745</v>
      </c>
      <c r="J697" s="5" t="s">
        <v>765</v>
      </c>
    </row>
    <row r="698" customFormat="false" ht="75" hidden="false" customHeight="true" outlineLevel="0" collapsed="false">
      <c r="A698" s="5" t="s">
        <v>3850</v>
      </c>
      <c r="B698" s="5" t="s">
        <v>701</v>
      </c>
      <c r="C698" s="5" t="s">
        <v>3851</v>
      </c>
      <c r="D698" s="5" t="s">
        <v>749</v>
      </c>
      <c r="E698" s="5" t="s">
        <v>782</v>
      </c>
      <c r="F698" s="5" t="s">
        <v>3852</v>
      </c>
      <c r="G698" s="5" t="s">
        <v>3853</v>
      </c>
      <c r="H698" s="5" t="s">
        <v>226</v>
      </c>
      <c r="I698" s="5" t="s">
        <v>745</v>
      </c>
      <c r="J698" s="5" t="s">
        <v>3854</v>
      </c>
    </row>
    <row r="699" customFormat="false" ht="75" hidden="false" customHeight="true" outlineLevel="0" collapsed="false">
      <c r="A699" s="5" t="s">
        <v>3855</v>
      </c>
      <c r="B699" s="5" t="s">
        <v>701</v>
      </c>
      <c r="C699" s="5" t="s">
        <v>3856</v>
      </c>
      <c r="D699" s="5" t="s">
        <v>772</v>
      </c>
      <c r="E699" s="5" t="s">
        <v>782</v>
      </c>
      <c r="F699" s="5" t="s">
        <v>3857</v>
      </c>
      <c r="G699" s="5" t="s">
        <v>3858</v>
      </c>
      <c r="H699" s="5"/>
      <c r="I699" s="5" t="s">
        <v>745</v>
      </c>
      <c r="J699" s="5" t="s">
        <v>2648</v>
      </c>
    </row>
    <row r="700" customFormat="false" ht="75" hidden="false" customHeight="true" outlineLevel="0" collapsed="false">
      <c r="A700" s="5" t="s">
        <v>3859</v>
      </c>
      <c r="B700" s="5" t="s">
        <v>701</v>
      </c>
      <c r="C700" s="5" t="s">
        <v>3860</v>
      </c>
      <c r="D700" s="5" t="s">
        <v>749</v>
      </c>
      <c r="E700" s="5" t="s">
        <v>789</v>
      </c>
      <c r="F700" s="5" t="s">
        <v>3861</v>
      </c>
      <c r="G700" s="5" t="s">
        <v>3862</v>
      </c>
      <c r="H700" s="5"/>
      <c r="I700" s="5" t="s">
        <v>753</v>
      </c>
      <c r="J700" s="5" t="s">
        <v>3863</v>
      </c>
    </row>
    <row r="701" customFormat="false" ht="75" hidden="false" customHeight="true" outlineLevel="0" collapsed="false">
      <c r="A701" s="5" t="s">
        <v>3864</v>
      </c>
      <c r="B701" s="5" t="s">
        <v>701</v>
      </c>
      <c r="C701" s="5" t="s">
        <v>3865</v>
      </c>
      <c r="D701" s="5" t="s">
        <v>772</v>
      </c>
      <c r="E701" s="5" t="s">
        <v>888</v>
      </c>
      <c r="F701" s="5" t="s">
        <v>3866</v>
      </c>
      <c r="G701" s="5" t="s">
        <v>3867</v>
      </c>
      <c r="H701" s="5" t="s">
        <v>258</v>
      </c>
      <c r="I701" s="5" t="s">
        <v>734</v>
      </c>
      <c r="J701" s="5" t="s">
        <v>3868</v>
      </c>
    </row>
    <row r="702" customFormat="false" ht="75" hidden="false" customHeight="true" outlineLevel="0" collapsed="false">
      <c r="A702" s="5" t="s">
        <v>3869</v>
      </c>
      <c r="B702" s="5" t="s">
        <v>701</v>
      </c>
      <c r="C702" s="5" t="s">
        <v>3870</v>
      </c>
      <c r="D702" s="5" t="s">
        <v>772</v>
      </c>
      <c r="E702" s="5" t="s">
        <v>924</v>
      </c>
      <c r="F702" s="5" t="s">
        <v>3871</v>
      </c>
      <c r="G702" s="5" t="s">
        <v>3872</v>
      </c>
      <c r="H702" s="5"/>
      <c r="I702" s="5" t="s">
        <v>785</v>
      </c>
      <c r="J702" s="5" t="s">
        <v>3873</v>
      </c>
    </row>
    <row r="703" customFormat="false" ht="75" hidden="false" customHeight="true" outlineLevel="0" collapsed="false">
      <c r="A703" s="5" t="s">
        <v>3874</v>
      </c>
      <c r="B703" s="5" t="s">
        <v>701</v>
      </c>
      <c r="C703" s="5" t="s">
        <v>3875</v>
      </c>
      <c r="D703" s="5" t="s">
        <v>749</v>
      </c>
      <c r="E703" s="5" t="s">
        <v>750</v>
      </c>
      <c r="F703" s="5" t="s">
        <v>3876</v>
      </c>
      <c r="G703" s="5" t="s">
        <v>3877</v>
      </c>
      <c r="H703" s="5" t="s">
        <v>242</v>
      </c>
      <c r="I703" s="5" t="s">
        <v>734</v>
      </c>
      <c r="J703" s="5" t="s">
        <v>3878</v>
      </c>
    </row>
    <row r="704" customFormat="false" ht="75" hidden="false" customHeight="true" outlineLevel="0" collapsed="false">
      <c r="A704" s="5" t="s">
        <v>3879</v>
      </c>
      <c r="B704" s="5" t="s">
        <v>710</v>
      </c>
      <c r="C704" s="5" t="s">
        <v>3880</v>
      </c>
      <c r="D704" s="5" t="s">
        <v>749</v>
      </c>
      <c r="E704" s="5" t="s">
        <v>730</v>
      </c>
      <c r="F704" s="5" t="s">
        <v>3881</v>
      </c>
      <c r="G704" s="5" t="s">
        <v>3882</v>
      </c>
      <c r="H704" s="5" t="s">
        <v>82</v>
      </c>
      <c r="I704" s="5" t="s">
        <v>734</v>
      </c>
      <c r="J704" s="5" t="s">
        <v>3883</v>
      </c>
    </row>
    <row r="705" customFormat="false" ht="75" hidden="false" customHeight="true" outlineLevel="0" collapsed="false">
      <c r="A705" s="5" t="s">
        <v>3884</v>
      </c>
      <c r="B705" s="5" t="s">
        <v>710</v>
      </c>
      <c r="C705" s="5" t="s">
        <v>3885</v>
      </c>
      <c r="D705" s="5" t="s">
        <v>772</v>
      </c>
      <c r="E705" s="5" t="s">
        <v>762</v>
      </c>
      <c r="F705" s="5" t="s">
        <v>3886</v>
      </c>
      <c r="G705" s="5" t="s">
        <v>3887</v>
      </c>
      <c r="H705" s="5" t="s">
        <v>178</v>
      </c>
      <c r="I705" s="5" t="s">
        <v>745</v>
      </c>
      <c r="J705" s="5" t="s">
        <v>765</v>
      </c>
    </row>
    <row r="706" customFormat="false" ht="75" hidden="false" customHeight="true" outlineLevel="0" collapsed="false">
      <c r="A706" s="5" t="s">
        <v>3888</v>
      </c>
      <c r="B706" s="5" t="s">
        <v>710</v>
      </c>
      <c r="C706" s="5" t="s">
        <v>3889</v>
      </c>
      <c r="D706" s="5" t="s">
        <v>772</v>
      </c>
      <c r="E706" s="5" t="s">
        <v>762</v>
      </c>
      <c r="F706" s="5" t="s">
        <v>3890</v>
      </c>
      <c r="G706" s="5" t="s">
        <v>3887</v>
      </c>
      <c r="H706" s="5"/>
      <c r="I706" s="5" t="s">
        <v>745</v>
      </c>
      <c r="J706" s="5" t="s">
        <v>765</v>
      </c>
    </row>
    <row r="707" customFormat="false" ht="75" hidden="false" customHeight="true" outlineLevel="0" collapsed="false">
      <c r="A707" s="5" t="s">
        <v>3891</v>
      </c>
      <c r="B707" s="5" t="s">
        <v>710</v>
      </c>
      <c r="C707" s="5" t="s">
        <v>3892</v>
      </c>
      <c r="D707" s="5" t="s">
        <v>772</v>
      </c>
      <c r="E707" s="5" t="s">
        <v>762</v>
      </c>
      <c r="F707" s="5" t="s">
        <v>3893</v>
      </c>
      <c r="G707" s="5" t="s">
        <v>3887</v>
      </c>
      <c r="H707" s="5" t="s">
        <v>170</v>
      </c>
      <c r="I707" s="5" t="s">
        <v>745</v>
      </c>
      <c r="J707" s="5" t="s">
        <v>3894</v>
      </c>
    </row>
    <row r="708" customFormat="false" ht="75" hidden="false" customHeight="true" outlineLevel="0" collapsed="false">
      <c r="A708" s="5" t="s">
        <v>3895</v>
      </c>
      <c r="B708" s="5" t="s">
        <v>710</v>
      </c>
      <c r="C708" s="5" t="s">
        <v>3896</v>
      </c>
      <c r="D708" s="5" t="s">
        <v>772</v>
      </c>
      <c r="E708" s="5" t="s">
        <v>782</v>
      </c>
      <c r="F708" s="5" t="s">
        <v>3897</v>
      </c>
      <c r="G708" s="5" t="s">
        <v>3887</v>
      </c>
      <c r="H708" s="5" t="s">
        <v>32</v>
      </c>
      <c r="I708" s="5" t="s">
        <v>734</v>
      </c>
      <c r="J708" s="5" t="s">
        <v>3898</v>
      </c>
    </row>
    <row r="709" customFormat="false" ht="75" hidden="false" customHeight="true" outlineLevel="0" collapsed="false">
      <c r="A709" s="5" t="s">
        <v>3899</v>
      </c>
      <c r="B709" s="5" t="s">
        <v>710</v>
      </c>
      <c r="C709" s="5" t="s">
        <v>2868</v>
      </c>
      <c r="D709" s="5" t="s">
        <v>772</v>
      </c>
      <c r="E709" s="5" t="s">
        <v>762</v>
      </c>
      <c r="F709" s="5" t="s">
        <v>3900</v>
      </c>
      <c r="G709" s="5" t="s">
        <v>3901</v>
      </c>
      <c r="H709" s="5"/>
      <c r="I709" s="5" t="s">
        <v>734</v>
      </c>
      <c r="J709" s="5" t="s">
        <v>2871</v>
      </c>
    </row>
    <row r="710" customFormat="false" ht="75" hidden="false" customHeight="true" outlineLevel="0" collapsed="false">
      <c r="A710" s="5" t="s">
        <v>3902</v>
      </c>
      <c r="B710" s="5" t="s">
        <v>710</v>
      </c>
      <c r="C710" s="5" t="s">
        <v>3903</v>
      </c>
      <c r="D710" s="5" t="s">
        <v>772</v>
      </c>
      <c r="E710" s="5" t="s">
        <v>924</v>
      </c>
      <c r="F710" s="5" t="s">
        <v>3904</v>
      </c>
      <c r="G710" s="5" t="s">
        <v>3905</v>
      </c>
      <c r="H710" s="5"/>
      <c r="I710" s="5" t="s">
        <v>745</v>
      </c>
      <c r="J710" s="5" t="s">
        <v>3906</v>
      </c>
    </row>
    <row r="711" customFormat="false" ht="75" hidden="false" customHeight="true" outlineLevel="0" collapsed="false">
      <c r="A711" s="5" t="s">
        <v>3907</v>
      </c>
      <c r="B711" s="5" t="s">
        <v>710</v>
      </c>
      <c r="C711" s="5" t="s">
        <v>3908</v>
      </c>
      <c r="D711" s="5" t="s">
        <v>729</v>
      </c>
      <c r="E711" s="5" t="s">
        <v>750</v>
      </c>
      <c r="F711" s="5" t="s">
        <v>3909</v>
      </c>
      <c r="G711" s="5" t="s">
        <v>3910</v>
      </c>
      <c r="H711" s="5"/>
      <c r="I711" s="5" t="s">
        <v>745</v>
      </c>
      <c r="J711" s="5" t="s">
        <v>3911</v>
      </c>
    </row>
    <row r="712" customFormat="false" ht="75" hidden="false" customHeight="true" outlineLevel="0" collapsed="false">
      <c r="A712" s="5" t="s">
        <v>3912</v>
      </c>
      <c r="B712" s="5" t="s">
        <v>710</v>
      </c>
      <c r="C712" s="5" t="s">
        <v>3913</v>
      </c>
      <c r="D712" s="5" t="s">
        <v>749</v>
      </c>
      <c r="E712" s="5" t="s">
        <v>782</v>
      </c>
      <c r="F712" s="5" t="s">
        <v>3914</v>
      </c>
      <c r="G712" s="5" t="s">
        <v>3915</v>
      </c>
      <c r="H712" s="5" t="s">
        <v>3035</v>
      </c>
      <c r="I712" s="5" t="s">
        <v>753</v>
      </c>
      <c r="J712" s="5" t="s">
        <v>3916</v>
      </c>
    </row>
    <row r="713" customFormat="false" ht="75" hidden="false" customHeight="true" outlineLevel="0" collapsed="false">
      <c r="A713" s="5" t="s">
        <v>3917</v>
      </c>
      <c r="B713" s="5" t="s">
        <v>710</v>
      </c>
      <c r="C713" s="5" t="s">
        <v>3918</v>
      </c>
      <c r="D713" s="5" t="s">
        <v>729</v>
      </c>
      <c r="E713" s="5" t="s">
        <v>782</v>
      </c>
      <c r="F713" s="5" t="s">
        <v>3919</v>
      </c>
      <c r="G713" s="5" t="s">
        <v>3915</v>
      </c>
      <c r="H713" s="5" t="s">
        <v>210</v>
      </c>
      <c r="I713" s="5" t="s">
        <v>753</v>
      </c>
      <c r="J713" s="5" t="s">
        <v>3920</v>
      </c>
    </row>
    <row r="714" customFormat="false" ht="75" hidden="false" customHeight="true" outlineLevel="0" collapsed="false">
      <c r="A714" s="5" t="s">
        <v>3921</v>
      </c>
      <c r="B714" s="5" t="s">
        <v>710</v>
      </c>
      <c r="C714" s="5" t="s">
        <v>3922</v>
      </c>
      <c r="D714" s="5" t="s">
        <v>749</v>
      </c>
      <c r="E714" s="5" t="s">
        <v>782</v>
      </c>
      <c r="F714" s="5" t="s">
        <v>3923</v>
      </c>
      <c r="G714" s="5" t="s">
        <v>3915</v>
      </c>
      <c r="H714" s="5"/>
      <c r="I714" s="5" t="s">
        <v>734</v>
      </c>
      <c r="J714" s="5" t="s">
        <v>3924</v>
      </c>
    </row>
    <row r="715" customFormat="false" ht="75" hidden="false" customHeight="true" outlineLevel="0" collapsed="false">
      <c r="A715" s="5" t="s">
        <v>3925</v>
      </c>
      <c r="B715" s="5" t="s">
        <v>710</v>
      </c>
      <c r="C715" s="5" t="s">
        <v>3926</v>
      </c>
      <c r="D715" s="5" t="s">
        <v>729</v>
      </c>
      <c r="E715" s="5" t="s">
        <v>730</v>
      </c>
      <c r="F715" s="5" t="s">
        <v>3927</v>
      </c>
      <c r="G715" s="5" t="s">
        <v>3915</v>
      </c>
      <c r="H715" s="5"/>
      <c r="I715" s="5" t="s">
        <v>745</v>
      </c>
      <c r="J715" s="5" t="s">
        <v>3928</v>
      </c>
    </row>
    <row r="716" customFormat="false" ht="75" hidden="false" customHeight="true" outlineLevel="0" collapsed="false">
      <c r="A716" s="5" t="s">
        <v>3929</v>
      </c>
      <c r="B716" s="5" t="s">
        <v>710</v>
      </c>
      <c r="C716" s="5" t="s">
        <v>3930</v>
      </c>
      <c r="D716" s="5" t="s">
        <v>749</v>
      </c>
      <c r="E716" s="5" t="s">
        <v>888</v>
      </c>
      <c r="F716" s="5" t="s">
        <v>3931</v>
      </c>
      <c r="G716" s="5" t="s">
        <v>3915</v>
      </c>
      <c r="H716" s="5"/>
      <c r="I716" s="5" t="s">
        <v>745</v>
      </c>
      <c r="J716" s="5" t="s">
        <v>3932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4" min="4" style="0" width="11"/>
    <col collapsed="false" customWidth="true" hidden="false" outlineLevel="0" max="5" min="5" style="0" width="14"/>
    <col collapsed="false" customWidth="true" hidden="false" outlineLevel="0" max="6" min="6" style="0" width="10"/>
    <col collapsed="false" customWidth="true" hidden="false" outlineLevel="0" max="7" min="7" style="0" width="14"/>
    <col collapsed="false" customWidth="true" hidden="false" outlineLevel="0" max="8" min="8" style="0" width="10"/>
    <col collapsed="false" customWidth="true" hidden="false" outlineLevel="0" max="9" min="9" style="0" width="12"/>
    <col collapsed="false" customWidth="true" hidden="false" outlineLevel="0" max="10" min="10" style="0" width="16"/>
    <col collapsed="false" customWidth="true" hidden="false" outlineLevel="0" max="11" min="11" style="0" width="12"/>
  </cols>
  <sheetData>
    <row r="1" customFormat="false" ht="35.05" hidden="false" customHeight="false" outlineLevel="0" collapsed="false">
      <c r="A1" s="4" t="s">
        <v>298</v>
      </c>
      <c r="B1" s="4" t="s">
        <v>3933</v>
      </c>
      <c r="C1" s="4" t="s">
        <v>745</v>
      </c>
      <c r="D1" s="4" t="s">
        <v>734</v>
      </c>
      <c r="E1" s="4" t="s">
        <v>753</v>
      </c>
      <c r="F1" s="4" t="s">
        <v>785</v>
      </c>
      <c r="G1" s="4" t="s">
        <v>3934</v>
      </c>
      <c r="H1" s="4" t="s">
        <v>3935</v>
      </c>
      <c r="I1" s="4" t="s">
        <v>3936</v>
      </c>
      <c r="J1" s="4" t="s">
        <v>3937</v>
      </c>
      <c r="K1" s="4" t="s">
        <v>3938</v>
      </c>
    </row>
    <row r="2" customFormat="false" ht="15" hidden="false" customHeight="false" outlineLevel="0" collapsed="false">
      <c r="A2" s="5" t="s">
        <v>312</v>
      </c>
      <c r="B2" s="5" t="n">
        <f aca="false">COUNTIF(Servicios!B:B,A2)</f>
        <v>18</v>
      </c>
      <c r="C2" s="5" t="n">
        <f aca="false">COUNTIFS(Servicios!B:B,A2,Servicios!I:I,"Hoy")</f>
        <v>6</v>
      </c>
      <c r="D2" s="5" t="n">
        <f aca="false">COUNTIFS(Servicios!B:B,A2,Servicios!I:I,"Corto plazo")</f>
        <v>4</v>
      </c>
      <c r="E2" s="5" t="n">
        <f aca="false">COUNTIFS(Servicios!B:B,A2,Servicios!I:I,"Desarrollo mayor")</f>
        <v>6</v>
      </c>
      <c r="F2" s="5" t="n">
        <f aca="false">COUNTIFS(Servicios!B:B,A2,Servicios!I:I,"No aplica")</f>
        <v>2</v>
      </c>
      <c r="G2" s="5" t="n">
        <f aca="false">C2+D2</f>
        <v>10</v>
      </c>
      <c r="H2" s="6" t="n">
        <f aca="false">IF(B2=0,0,G2/B2)</f>
        <v>0.555555555555556</v>
      </c>
      <c r="I2" s="5" t="n">
        <f aca="false">COUNTIFS(Servicios!B:B,A2,Servicios!D:D,"&lt;&gt;online")</f>
        <v>9</v>
      </c>
      <c r="J2" s="5" t="n">
        <f aca="false">COUNTIFS(Servicios!B:B,A2,Servicios!D:D,"&lt;&gt;online",Servicios!I:I,"Hoy")+COUNTIFS(Servicios!B:B,A2,Servicios!D:D,"&lt;&gt;online",Servicios!I:I,"Corto plazo")</f>
        <v>6</v>
      </c>
      <c r="K2" s="6" t="n">
        <f aca="false">IF(I2=0,0,J2/I2)</f>
        <v>0.666666666666667</v>
      </c>
    </row>
    <row r="3" customFormat="false" ht="15" hidden="false" customHeight="false" outlineLevel="0" collapsed="false">
      <c r="A3" s="5" t="s">
        <v>321</v>
      </c>
      <c r="B3" s="5" t="n">
        <f aca="false">COUNTIF(Servicios!B:B,A3)</f>
        <v>22</v>
      </c>
      <c r="C3" s="5" t="n">
        <f aca="false">COUNTIFS(Servicios!B:B,A3,Servicios!I:I,"Hoy")</f>
        <v>8</v>
      </c>
      <c r="D3" s="5" t="n">
        <f aca="false">COUNTIFS(Servicios!B:B,A3,Servicios!I:I,"Corto plazo")</f>
        <v>9</v>
      </c>
      <c r="E3" s="5" t="n">
        <f aca="false">COUNTIFS(Servicios!B:B,A3,Servicios!I:I,"Desarrollo mayor")</f>
        <v>4</v>
      </c>
      <c r="F3" s="5" t="n">
        <f aca="false">COUNTIFS(Servicios!B:B,A3,Servicios!I:I,"No aplica")</f>
        <v>1</v>
      </c>
      <c r="G3" s="5" t="n">
        <f aca="false">C3+D3</f>
        <v>17</v>
      </c>
      <c r="H3" s="6" t="n">
        <f aca="false">IF(B3=0,0,G3/B3)</f>
        <v>0.772727272727273</v>
      </c>
      <c r="I3" s="5" t="n">
        <f aca="false">COUNTIFS(Servicios!B:B,A3,Servicios!D:D,"&lt;&gt;online")</f>
        <v>15</v>
      </c>
      <c r="J3" s="5" t="n">
        <f aca="false">COUNTIFS(Servicios!B:B,A3,Servicios!D:D,"&lt;&gt;online",Servicios!I:I,"Hoy")+COUNTIFS(Servicios!B:B,A3,Servicios!D:D,"&lt;&gt;online",Servicios!I:I,"Corto plazo")</f>
        <v>11</v>
      </c>
      <c r="K3" s="6" t="n">
        <f aca="false">IF(I3=0,0,J3/I3)</f>
        <v>0.733333333333333</v>
      </c>
    </row>
    <row r="4" customFormat="false" ht="15" hidden="false" customHeight="false" outlineLevel="0" collapsed="false">
      <c r="A4" s="5" t="s">
        <v>330</v>
      </c>
      <c r="B4" s="5" t="n">
        <f aca="false">COUNTIF(Servicios!B:B,A4)</f>
        <v>16</v>
      </c>
      <c r="C4" s="5" t="n">
        <f aca="false">COUNTIFS(Servicios!B:B,A4,Servicios!I:I,"Hoy")</f>
        <v>6</v>
      </c>
      <c r="D4" s="5" t="n">
        <f aca="false">COUNTIFS(Servicios!B:B,A4,Servicios!I:I,"Corto plazo")</f>
        <v>7</v>
      </c>
      <c r="E4" s="5" t="n">
        <f aca="false">COUNTIFS(Servicios!B:B,A4,Servicios!I:I,"Desarrollo mayor")</f>
        <v>3</v>
      </c>
      <c r="F4" s="5" t="n">
        <f aca="false">COUNTIFS(Servicios!B:B,A4,Servicios!I:I,"No aplica")</f>
        <v>0</v>
      </c>
      <c r="G4" s="5" t="n">
        <f aca="false">C4+D4</f>
        <v>13</v>
      </c>
      <c r="H4" s="6" t="n">
        <f aca="false">IF(B4=0,0,G4/B4)</f>
        <v>0.8125</v>
      </c>
      <c r="I4" s="5" t="n">
        <f aca="false">COUNTIFS(Servicios!B:B,A4,Servicios!D:D,"&lt;&gt;online")</f>
        <v>8</v>
      </c>
      <c r="J4" s="5" t="n">
        <f aca="false">COUNTIFS(Servicios!B:B,A4,Servicios!D:D,"&lt;&gt;online",Servicios!I:I,"Hoy")+COUNTIFS(Servicios!B:B,A4,Servicios!D:D,"&lt;&gt;online",Servicios!I:I,"Corto plazo")</f>
        <v>7</v>
      </c>
      <c r="K4" s="6" t="n">
        <f aca="false">IF(I4=0,0,J4/I4)</f>
        <v>0.875</v>
      </c>
    </row>
    <row r="5" customFormat="false" ht="15" hidden="false" customHeight="false" outlineLevel="0" collapsed="false">
      <c r="A5" s="5" t="s">
        <v>339</v>
      </c>
      <c r="B5" s="5" t="n">
        <f aca="false">COUNTIF(Servicios!B:B,A5)</f>
        <v>23</v>
      </c>
      <c r="C5" s="5" t="n">
        <f aca="false">COUNTIFS(Servicios!B:B,A5,Servicios!I:I,"Hoy")</f>
        <v>9</v>
      </c>
      <c r="D5" s="5" t="n">
        <f aca="false">COUNTIFS(Servicios!B:B,A5,Servicios!I:I,"Corto plazo")</f>
        <v>10</v>
      </c>
      <c r="E5" s="5" t="n">
        <f aca="false">COUNTIFS(Servicios!B:B,A5,Servicios!I:I,"Desarrollo mayor")</f>
        <v>3</v>
      </c>
      <c r="F5" s="5" t="n">
        <f aca="false">COUNTIFS(Servicios!B:B,A5,Servicios!I:I,"No aplica")</f>
        <v>1</v>
      </c>
      <c r="G5" s="5" t="n">
        <f aca="false">C5+D5</f>
        <v>19</v>
      </c>
      <c r="H5" s="6" t="n">
        <f aca="false">IF(B5=0,0,G5/B5)</f>
        <v>0.826086956521739</v>
      </c>
      <c r="I5" s="5" t="n">
        <f aca="false">COUNTIFS(Servicios!B:B,A5,Servicios!D:D,"&lt;&gt;online")</f>
        <v>18</v>
      </c>
      <c r="J5" s="5" t="n">
        <f aca="false">COUNTIFS(Servicios!B:B,A5,Servicios!D:D,"&lt;&gt;online",Servicios!I:I,"Hoy")+COUNTIFS(Servicios!B:B,A5,Servicios!D:D,"&lt;&gt;online",Servicios!I:I,"Corto plazo")</f>
        <v>14</v>
      </c>
      <c r="K5" s="6" t="n">
        <f aca="false">IF(I5=0,0,J5/I5)</f>
        <v>0.777777777777778</v>
      </c>
    </row>
    <row r="6" customFormat="false" ht="15" hidden="false" customHeight="false" outlineLevel="0" collapsed="false">
      <c r="A6" s="5" t="s">
        <v>348</v>
      </c>
      <c r="B6" s="5" t="n">
        <f aca="false">COUNTIF(Servicios!B:B,A6)</f>
        <v>30</v>
      </c>
      <c r="C6" s="5" t="n">
        <f aca="false">COUNTIFS(Servicios!B:B,A6,Servicios!I:I,"Hoy")</f>
        <v>11</v>
      </c>
      <c r="D6" s="5" t="n">
        <f aca="false">COUNTIFS(Servicios!B:B,A6,Servicios!I:I,"Corto plazo")</f>
        <v>7</v>
      </c>
      <c r="E6" s="5" t="n">
        <f aca="false">COUNTIFS(Servicios!B:B,A6,Servicios!I:I,"Desarrollo mayor")</f>
        <v>11</v>
      </c>
      <c r="F6" s="5" t="n">
        <f aca="false">COUNTIFS(Servicios!B:B,A6,Servicios!I:I,"No aplica")</f>
        <v>1</v>
      </c>
      <c r="G6" s="5" t="n">
        <f aca="false">C6+D6</f>
        <v>18</v>
      </c>
      <c r="H6" s="6" t="n">
        <f aca="false">IF(B6=0,0,G6/B6)</f>
        <v>0.6</v>
      </c>
      <c r="I6" s="5" t="n">
        <f aca="false">COUNTIFS(Servicios!B:B,A6,Servicios!D:D,"&lt;&gt;online")</f>
        <v>26</v>
      </c>
      <c r="J6" s="5" t="n">
        <f aca="false">COUNTIFS(Servicios!B:B,A6,Servicios!D:D,"&lt;&gt;online",Servicios!I:I,"Hoy")+COUNTIFS(Servicios!B:B,A6,Servicios!D:D,"&lt;&gt;online",Servicios!I:I,"Corto plazo")</f>
        <v>15</v>
      </c>
      <c r="K6" s="6" t="n">
        <f aca="false">IF(I6=0,0,J6/I6)</f>
        <v>0.576923076923077</v>
      </c>
    </row>
    <row r="7" customFormat="false" ht="15" hidden="false" customHeight="false" outlineLevel="0" collapsed="false">
      <c r="A7" s="5" t="s">
        <v>357</v>
      </c>
      <c r="B7" s="5" t="n">
        <f aca="false">COUNTIF(Servicios!B:B,A7)</f>
        <v>25</v>
      </c>
      <c r="C7" s="5" t="n">
        <f aca="false">COUNTIFS(Servicios!B:B,A7,Servicios!I:I,"Hoy")</f>
        <v>9</v>
      </c>
      <c r="D7" s="5" t="n">
        <f aca="false">COUNTIFS(Servicios!B:B,A7,Servicios!I:I,"Corto plazo")</f>
        <v>10</v>
      </c>
      <c r="E7" s="5" t="n">
        <f aca="false">COUNTIFS(Servicios!B:B,A7,Servicios!I:I,"Desarrollo mayor")</f>
        <v>5</v>
      </c>
      <c r="F7" s="5" t="n">
        <f aca="false">COUNTIFS(Servicios!B:B,A7,Servicios!I:I,"No aplica")</f>
        <v>1</v>
      </c>
      <c r="G7" s="5" t="n">
        <f aca="false">C7+D7</f>
        <v>19</v>
      </c>
      <c r="H7" s="6" t="n">
        <f aca="false">IF(B7=0,0,G7/B7)</f>
        <v>0.76</v>
      </c>
      <c r="I7" s="5" t="n">
        <f aca="false">COUNTIFS(Servicios!B:B,A7,Servicios!D:D,"&lt;&gt;online")</f>
        <v>18</v>
      </c>
      <c r="J7" s="5" t="n">
        <f aca="false">COUNTIFS(Servicios!B:B,A7,Servicios!D:D,"&lt;&gt;online",Servicios!I:I,"Hoy")+COUNTIFS(Servicios!B:B,A7,Servicios!D:D,"&lt;&gt;online",Servicios!I:I,"Corto plazo")</f>
        <v>15</v>
      </c>
      <c r="K7" s="6" t="n">
        <f aca="false">IF(I7=0,0,J7/I7)</f>
        <v>0.833333333333333</v>
      </c>
    </row>
    <row r="8" customFormat="false" ht="15" hidden="false" customHeight="false" outlineLevel="0" collapsed="false">
      <c r="A8" s="5" t="s">
        <v>366</v>
      </c>
      <c r="B8" s="5" t="n">
        <f aca="false">COUNTIF(Servicios!B:B,A8)</f>
        <v>18</v>
      </c>
      <c r="C8" s="5" t="n">
        <f aca="false">COUNTIFS(Servicios!B:B,A8,Servicios!I:I,"Hoy")</f>
        <v>8</v>
      </c>
      <c r="D8" s="5" t="n">
        <f aca="false">COUNTIFS(Servicios!B:B,A8,Servicios!I:I,"Corto plazo")</f>
        <v>6</v>
      </c>
      <c r="E8" s="5" t="n">
        <f aca="false">COUNTIFS(Servicios!B:B,A8,Servicios!I:I,"Desarrollo mayor")</f>
        <v>2</v>
      </c>
      <c r="F8" s="5" t="n">
        <f aca="false">COUNTIFS(Servicios!B:B,A8,Servicios!I:I,"No aplica")</f>
        <v>2</v>
      </c>
      <c r="G8" s="5" t="n">
        <f aca="false">C8+D8</f>
        <v>14</v>
      </c>
      <c r="H8" s="6" t="n">
        <f aca="false">IF(B8=0,0,G8/B8)</f>
        <v>0.777777777777778</v>
      </c>
      <c r="I8" s="5" t="n">
        <f aca="false">COUNTIFS(Servicios!B:B,A8,Servicios!D:D,"&lt;&gt;online")</f>
        <v>11</v>
      </c>
      <c r="J8" s="5" t="n">
        <f aca="false">COUNTIFS(Servicios!B:B,A8,Servicios!D:D,"&lt;&gt;online",Servicios!I:I,"Hoy")+COUNTIFS(Servicios!B:B,A8,Servicios!D:D,"&lt;&gt;online",Servicios!I:I,"Corto plazo")</f>
        <v>8</v>
      </c>
      <c r="K8" s="6" t="n">
        <f aca="false">IF(I8=0,0,J8/I8)</f>
        <v>0.727272727272727</v>
      </c>
    </row>
    <row r="9" customFormat="false" ht="15" hidden="false" customHeight="false" outlineLevel="0" collapsed="false">
      <c r="A9" s="5" t="s">
        <v>375</v>
      </c>
      <c r="B9" s="5" t="n">
        <f aca="false">COUNTIF(Servicios!B:B,A9)</f>
        <v>14</v>
      </c>
      <c r="C9" s="5" t="n">
        <f aca="false">COUNTIFS(Servicios!B:B,A9,Servicios!I:I,"Hoy")</f>
        <v>6</v>
      </c>
      <c r="D9" s="5" t="n">
        <f aca="false">COUNTIFS(Servicios!B:B,A9,Servicios!I:I,"Corto plazo")</f>
        <v>4</v>
      </c>
      <c r="E9" s="5" t="n">
        <f aca="false">COUNTIFS(Servicios!B:B,A9,Servicios!I:I,"Desarrollo mayor")</f>
        <v>4</v>
      </c>
      <c r="F9" s="5" t="n">
        <f aca="false">COUNTIFS(Servicios!B:B,A9,Servicios!I:I,"No aplica")</f>
        <v>0</v>
      </c>
      <c r="G9" s="5" t="n">
        <f aca="false">C9+D9</f>
        <v>10</v>
      </c>
      <c r="H9" s="6" t="n">
        <f aca="false">IF(B9=0,0,G9/B9)</f>
        <v>0.714285714285714</v>
      </c>
      <c r="I9" s="5" t="n">
        <f aca="false">COUNTIFS(Servicios!B:B,A9,Servicios!D:D,"&lt;&gt;online")</f>
        <v>8</v>
      </c>
      <c r="J9" s="5" t="n">
        <f aca="false">COUNTIFS(Servicios!B:B,A9,Servicios!D:D,"&lt;&gt;online",Servicios!I:I,"Hoy")+COUNTIFS(Servicios!B:B,A9,Servicios!D:D,"&lt;&gt;online",Servicios!I:I,"Corto plazo")</f>
        <v>6</v>
      </c>
      <c r="K9" s="6" t="n">
        <f aca="false">IF(I9=0,0,J9/I9)</f>
        <v>0.75</v>
      </c>
    </row>
    <row r="10" customFormat="false" ht="15" hidden="false" customHeight="false" outlineLevel="0" collapsed="false">
      <c r="A10" s="5" t="s">
        <v>384</v>
      </c>
      <c r="B10" s="5" t="n">
        <f aca="false">COUNTIF(Servicios!B:B,A10)</f>
        <v>9</v>
      </c>
      <c r="C10" s="5" t="n">
        <f aca="false">COUNTIFS(Servicios!B:B,A10,Servicios!I:I,"Hoy")</f>
        <v>7</v>
      </c>
      <c r="D10" s="5" t="n">
        <f aca="false">COUNTIFS(Servicios!B:B,A10,Servicios!I:I,"Corto plazo")</f>
        <v>1</v>
      </c>
      <c r="E10" s="5" t="n">
        <f aca="false">COUNTIFS(Servicios!B:B,A10,Servicios!I:I,"Desarrollo mayor")</f>
        <v>1</v>
      </c>
      <c r="F10" s="5" t="n">
        <f aca="false">COUNTIFS(Servicios!B:B,A10,Servicios!I:I,"No aplica")</f>
        <v>0</v>
      </c>
      <c r="G10" s="5" t="n">
        <f aca="false">C10+D10</f>
        <v>8</v>
      </c>
      <c r="H10" s="6" t="n">
        <f aca="false">IF(B10=0,0,G10/B10)</f>
        <v>0.888888888888889</v>
      </c>
      <c r="I10" s="5" t="n">
        <f aca="false">COUNTIFS(Servicios!B:B,A10,Servicios!D:D,"&lt;&gt;online")</f>
        <v>1</v>
      </c>
      <c r="J10" s="5" t="n">
        <f aca="false">COUNTIFS(Servicios!B:B,A10,Servicios!D:D,"&lt;&gt;online",Servicios!I:I,"Hoy")+COUNTIFS(Servicios!B:B,A10,Servicios!D:D,"&lt;&gt;online",Servicios!I:I,"Corto plazo")</f>
        <v>1</v>
      </c>
      <c r="K10" s="6" t="n">
        <f aca="false">IF(I10=0,0,J10/I10)</f>
        <v>1</v>
      </c>
    </row>
    <row r="11" customFormat="false" ht="15" hidden="false" customHeight="false" outlineLevel="0" collapsed="false">
      <c r="A11" s="5" t="s">
        <v>392</v>
      </c>
      <c r="B11" s="5" t="n">
        <f aca="false">COUNTIF(Servicios!B:B,A11)</f>
        <v>14</v>
      </c>
      <c r="C11" s="5" t="n">
        <f aca="false">COUNTIFS(Servicios!B:B,A11,Servicios!I:I,"Hoy")</f>
        <v>6</v>
      </c>
      <c r="D11" s="5" t="n">
        <f aca="false">COUNTIFS(Servicios!B:B,A11,Servicios!I:I,"Corto plazo")</f>
        <v>4</v>
      </c>
      <c r="E11" s="5" t="n">
        <f aca="false">COUNTIFS(Servicios!B:B,A11,Servicios!I:I,"Desarrollo mayor")</f>
        <v>4</v>
      </c>
      <c r="F11" s="5" t="n">
        <f aca="false">COUNTIFS(Servicios!B:B,A11,Servicios!I:I,"No aplica")</f>
        <v>0</v>
      </c>
      <c r="G11" s="5" t="n">
        <f aca="false">C11+D11</f>
        <v>10</v>
      </c>
      <c r="H11" s="6" t="n">
        <f aca="false">IF(B11=0,0,G11/B11)</f>
        <v>0.714285714285714</v>
      </c>
      <c r="I11" s="5" t="n">
        <f aca="false">COUNTIFS(Servicios!B:B,A11,Servicios!D:D,"&lt;&gt;online")</f>
        <v>3</v>
      </c>
      <c r="J11" s="5" t="n">
        <f aca="false">COUNTIFS(Servicios!B:B,A11,Servicios!D:D,"&lt;&gt;online",Servicios!I:I,"Hoy")+COUNTIFS(Servicios!B:B,A11,Servicios!D:D,"&lt;&gt;online",Servicios!I:I,"Corto plazo")</f>
        <v>1</v>
      </c>
      <c r="K11" s="6" t="n">
        <f aca="false">IF(I11=0,0,J11/I11)</f>
        <v>0.333333333333333</v>
      </c>
    </row>
    <row r="12" customFormat="false" ht="15" hidden="false" customHeight="false" outlineLevel="0" collapsed="false">
      <c r="A12" s="5" t="s">
        <v>400</v>
      </c>
      <c r="B12" s="5" t="n">
        <f aca="false">COUNTIF(Servicios!B:B,A12)</f>
        <v>21</v>
      </c>
      <c r="C12" s="5" t="n">
        <f aca="false">COUNTIFS(Servicios!B:B,A12,Servicios!I:I,"Hoy")</f>
        <v>6</v>
      </c>
      <c r="D12" s="5" t="n">
        <f aca="false">COUNTIFS(Servicios!B:B,A12,Servicios!I:I,"Corto plazo")</f>
        <v>8</v>
      </c>
      <c r="E12" s="5" t="n">
        <f aca="false">COUNTIFS(Servicios!B:B,A12,Servicios!I:I,"Desarrollo mayor")</f>
        <v>4</v>
      </c>
      <c r="F12" s="5" t="n">
        <f aca="false">COUNTIFS(Servicios!B:B,A12,Servicios!I:I,"No aplica")</f>
        <v>3</v>
      </c>
      <c r="G12" s="5" t="n">
        <f aca="false">C12+D12</f>
        <v>14</v>
      </c>
      <c r="H12" s="6" t="n">
        <f aca="false">IF(B12=0,0,G12/B12)</f>
        <v>0.666666666666667</v>
      </c>
      <c r="I12" s="5" t="n">
        <f aca="false">COUNTIFS(Servicios!B:B,A12,Servicios!D:D,"&lt;&gt;online")</f>
        <v>16</v>
      </c>
      <c r="J12" s="5" t="n">
        <f aca="false">COUNTIFS(Servicios!B:B,A12,Servicios!D:D,"&lt;&gt;online",Servicios!I:I,"Hoy")+COUNTIFS(Servicios!B:B,A12,Servicios!D:D,"&lt;&gt;online",Servicios!I:I,"Corto plazo")</f>
        <v>11</v>
      </c>
      <c r="K12" s="6" t="n">
        <f aca="false">IF(I12=0,0,J12/I12)</f>
        <v>0.6875</v>
      </c>
    </row>
    <row r="13" customFormat="false" ht="15" hidden="false" customHeight="false" outlineLevel="0" collapsed="false">
      <c r="A13" s="5" t="s">
        <v>409</v>
      </c>
      <c r="B13" s="5" t="n">
        <f aca="false">COUNTIF(Servicios!B:B,A13)</f>
        <v>25</v>
      </c>
      <c r="C13" s="5" t="n">
        <f aca="false">COUNTIFS(Servicios!B:B,A13,Servicios!I:I,"Hoy")</f>
        <v>10</v>
      </c>
      <c r="D13" s="5" t="n">
        <f aca="false">COUNTIFS(Servicios!B:B,A13,Servicios!I:I,"Corto plazo")</f>
        <v>13</v>
      </c>
      <c r="E13" s="5" t="n">
        <f aca="false">COUNTIFS(Servicios!B:B,A13,Servicios!I:I,"Desarrollo mayor")</f>
        <v>2</v>
      </c>
      <c r="F13" s="5" t="n">
        <f aca="false">COUNTIFS(Servicios!B:B,A13,Servicios!I:I,"No aplica")</f>
        <v>0</v>
      </c>
      <c r="G13" s="5" t="n">
        <f aca="false">C13+D13</f>
        <v>23</v>
      </c>
      <c r="H13" s="6" t="n">
        <f aca="false">IF(B13=0,0,G13/B13)</f>
        <v>0.92</v>
      </c>
      <c r="I13" s="5" t="n">
        <f aca="false">COUNTIFS(Servicios!B:B,A13,Servicios!D:D,"&lt;&gt;online")</f>
        <v>20</v>
      </c>
      <c r="J13" s="5" t="n">
        <f aca="false">COUNTIFS(Servicios!B:B,A13,Servicios!D:D,"&lt;&gt;online",Servicios!I:I,"Hoy")+COUNTIFS(Servicios!B:B,A13,Servicios!D:D,"&lt;&gt;online",Servicios!I:I,"Corto plazo")</f>
        <v>20</v>
      </c>
      <c r="K13" s="6" t="n">
        <f aca="false">IF(I13=0,0,J13/I13)</f>
        <v>1</v>
      </c>
    </row>
    <row r="14" customFormat="false" ht="15" hidden="false" customHeight="false" outlineLevel="0" collapsed="false">
      <c r="A14" s="5" t="s">
        <v>418</v>
      </c>
      <c r="B14" s="5" t="n">
        <f aca="false">COUNTIF(Servicios!B:B,A14)</f>
        <v>16</v>
      </c>
      <c r="C14" s="5" t="n">
        <f aca="false">COUNTIFS(Servicios!B:B,A14,Servicios!I:I,"Hoy")</f>
        <v>4</v>
      </c>
      <c r="D14" s="5" t="n">
        <f aca="false">COUNTIFS(Servicios!B:B,A14,Servicios!I:I,"Corto plazo")</f>
        <v>8</v>
      </c>
      <c r="E14" s="5" t="n">
        <f aca="false">COUNTIFS(Servicios!B:B,A14,Servicios!I:I,"Desarrollo mayor")</f>
        <v>3</v>
      </c>
      <c r="F14" s="5" t="n">
        <f aca="false">COUNTIFS(Servicios!B:B,A14,Servicios!I:I,"No aplica")</f>
        <v>1</v>
      </c>
      <c r="G14" s="5" t="n">
        <f aca="false">C14+D14</f>
        <v>12</v>
      </c>
      <c r="H14" s="6" t="n">
        <f aca="false">IF(B14=0,0,G14/B14)</f>
        <v>0.75</v>
      </c>
      <c r="I14" s="5" t="n">
        <f aca="false">COUNTIFS(Servicios!B:B,A14,Servicios!D:D,"&lt;&gt;online")</f>
        <v>13</v>
      </c>
      <c r="J14" s="5" t="n">
        <f aca="false">COUNTIFS(Servicios!B:B,A14,Servicios!D:D,"&lt;&gt;online",Servicios!I:I,"Hoy")+COUNTIFS(Servicios!B:B,A14,Servicios!D:D,"&lt;&gt;online",Servicios!I:I,"Corto plazo")</f>
        <v>10</v>
      </c>
      <c r="K14" s="6" t="n">
        <f aca="false">IF(I14=0,0,J14/I14)</f>
        <v>0.769230769230769</v>
      </c>
    </row>
    <row r="15" customFormat="false" ht="15" hidden="false" customHeight="false" outlineLevel="0" collapsed="false">
      <c r="A15" s="5" t="s">
        <v>426</v>
      </c>
      <c r="B15" s="5" t="n">
        <f aca="false">COUNTIF(Servicios!B:B,A15)</f>
        <v>18</v>
      </c>
      <c r="C15" s="5" t="n">
        <f aca="false">COUNTIFS(Servicios!B:B,A15,Servicios!I:I,"Hoy")</f>
        <v>8</v>
      </c>
      <c r="D15" s="5" t="n">
        <f aca="false">COUNTIFS(Servicios!B:B,A15,Servicios!I:I,"Corto plazo")</f>
        <v>4</v>
      </c>
      <c r="E15" s="5" t="n">
        <f aca="false">COUNTIFS(Servicios!B:B,A15,Servicios!I:I,"Desarrollo mayor")</f>
        <v>5</v>
      </c>
      <c r="F15" s="5" t="n">
        <f aca="false">COUNTIFS(Servicios!B:B,A15,Servicios!I:I,"No aplica")</f>
        <v>1</v>
      </c>
      <c r="G15" s="5" t="n">
        <f aca="false">C15+D15</f>
        <v>12</v>
      </c>
      <c r="H15" s="6" t="n">
        <f aca="false">IF(B15=0,0,G15/B15)</f>
        <v>0.666666666666667</v>
      </c>
      <c r="I15" s="5" t="n">
        <f aca="false">COUNTIFS(Servicios!B:B,A15,Servicios!D:D,"&lt;&gt;online")</f>
        <v>16</v>
      </c>
      <c r="J15" s="5" t="n">
        <f aca="false">COUNTIFS(Servicios!B:B,A15,Servicios!D:D,"&lt;&gt;online",Servicios!I:I,"Hoy")+COUNTIFS(Servicios!B:B,A15,Servicios!D:D,"&lt;&gt;online",Servicios!I:I,"Corto plazo")</f>
        <v>12</v>
      </c>
      <c r="K15" s="6" t="n">
        <f aca="false">IF(I15=0,0,J15/I15)</f>
        <v>0.75</v>
      </c>
    </row>
    <row r="16" customFormat="false" ht="15" hidden="false" customHeight="false" outlineLevel="0" collapsed="false">
      <c r="A16" s="5" t="s">
        <v>434</v>
      </c>
      <c r="B16" s="5" t="n">
        <f aca="false">COUNTIF(Servicios!B:B,A16)</f>
        <v>17</v>
      </c>
      <c r="C16" s="5" t="n">
        <f aca="false">COUNTIFS(Servicios!B:B,A16,Servicios!I:I,"Hoy")</f>
        <v>10</v>
      </c>
      <c r="D16" s="5" t="n">
        <f aca="false">COUNTIFS(Servicios!B:B,A16,Servicios!I:I,"Corto plazo")</f>
        <v>4</v>
      </c>
      <c r="E16" s="5" t="n">
        <f aca="false">COUNTIFS(Servicios!B:B,A16,Servicios!I:I,"Desarrollo mayor")</f>
        <v>2</v>
      </c>
      <c r="F16" s="5" t="n">
        <f aca="false">COUNTIFS(Servicios!B:B,A16,Servicios!I:I,"No aplica")</f>
        <v>1</v>
      </c>
      <c r="G16" s="5" t="n">
        <f aca="false">C16+D16</f>
        <v>14</v>
      </c>
      <c r="H16" s="6" t="n">
        <f aca="false">IF(B16=0,0,G16/B16)</f>
        <v>0.823529411764706</v>
      </c>
      <c r="I16" s="5" t="n">
        <f aca="false">COUNTIFS(Servicios!B:B,A16,Servicios!D:D,"&lt;&gt;online")</f>
        <v>9</v>
      </c>
      <c r="J16" s="5" t="n">
        <f aca="false">COUNTIFS(Servicios!B:B,A16,Servicios!D:D,"&lt;&gt;online",Servicios!I:I,"Hoy")+COUNTIFS(Servicios!B:B,A16,Servicios!D:D,"&lt;&gt;online",Servicios!I:I,"Corto plazo")</f>
        <v>9</v>
      </c>
      <c r="K16" s="6" t="n">
        <f aca="false">IF(I16=0,0,J16/I16)</f>
        <v>1</v>
      </c>
    </row>
    <row r="17" customFormat="false" ht="15" hidden="false" customHeight="false" outlineLevel="0" collapsed="false">
      <c r="A17" s="5" t="s">
        <v>443</v>
      </c>
      <c r="B17" s="5" t="n">
        <f aca="false">COUNTIF(Servicios!B:B,A17)</f>
        <v>14</v>
      </c>
      <c r="C17" s="5" t="n">
        <f aca="false">COUNTIFS(Servicios!B:B,A17,Servicios!I:I,"Hoy")</f>
        <v>6</v>
      </c>
      <c r="D17" s="5" t="n">
        <f aca="false">COUNTIFS(Servicios!B:B,A17,Servicios!I:I,"Corto plazo")</f>
        <v>3</v>
      </c>
      <c r="E17" s="5" t="n">
        <f aca="false">COUNTIFS(Servicios!B:B,A17,Servicios!I:I,"Desarrollo mayor")</f>
        <v>3</v>
      </c>
      <c r="F17" s="5" t="n">
        <f aca="false">COUNTIFS(Servicios!B:B,A17,Servicios!I:I,"No aplica")</f>
        <v>2</v>
      </c>
      <c r="G17" s="5" t="n">
        <f aca="false">C17+D17</f>
        <v>9</v>
      </c>
      <c r="H17" s="6" t="n">
        <f aca="false">IF(B17=0,0,G17/B17)</f>
        <v>0.642857142857143</v>
      </c>
      <c r="I17" s="5" t="n">
        <f aca="false">COUNTIFS(Servicios!B:B,A17,Servicios!D:D,"&lt;&gt;online")</f>
        <v>9</v>
      </c>
      <c r="J17" s="5" t="n">
        <f aca="false">COUNTIFS(Servicios!B:B,A17,Servicios!D:D,"&lt;&gt;online",Servicios!I:I,"Hoy")+COUNTIFS(Servicios!B:B,A17,Servicios!D:D,"&lt;&gt;online",Servicios!I:I,"Corto plazo")</f>
        <v>7</v>
      </c>
      <c r="K17" s="6" t="n">
        <f aca="false">IF(I17=0,0,J17/I17)</f>
        <v>0.777777777777778</v>
      </c>
    </row>
    <row r="18" customFormat="false" ht="15" hidden="false" customHeight="false" outlineLevel="0" collapsed="false">
      <c r="A18" s="5" t="s">
        <v>451</v>
      </c>
      <c r="B18" s="5" t="n">
        <f aca="false">COUNTIF(Servicios!B:B,A18)</f>
        <v>20</v>
      </c>
      <c r="C18" s="5" t="n">
        <f aca="false">COUNTIFS(Servicios!B:B,A18,Servicios!I:I,"Hoy")</f>
        <v>11</v>
      </c>
      <c r="D18" s="5" t="n">
        <f aca="false">COUNTIFS(Servicios!B:B,A18,Servicios!I:I,"Corto plazo")</f>
        <v>4</v>
      </c>
      <c r="E18" s="5" t="n">
        <f aca="false">COUNTIFS(Servicios!B:B,A18,Servicios!I:I,"Desarrollo mayor")</f>
        <v>5</v>
      </c>
      <c r="F18" s="5" t="n">
        <f aca="false">COUNTIFS(Servicios!B:B,A18,Servicios!I:I,"No aplica")</f>
        <v>0</v>
      </c>
      <c r="G18" s="5" t="n">
        <f aca="false">C18+D18</f>
        <v>15</v>
      </c>
      <c r="H18" s="6" t="n">
        <f aca="false">IF(B18=0,0,G18/B18)</f>
        <v>0.75</v>
      </c>
      <c r="I18" s="5" t="n">
        <f aca="false">COUNTIFS(Servicios!B:B,A18,Servicios!D:D,"&lt;&gt;online")</f>
        <v>12</v>
      </c>
      <c r="J18" s="5" t="n">
        <f aca="false">COUNTIFS(Servicios!B:B,A18,Servicios!D:D,"&lt;&gt;online",Servicios!I:I,"Hoy")+COUNTIFS(Servicios!B:B,A18,Servicios!D:D,"&lt;&gt;online",Servicios!I:I,"Corto plazo")</f>
        <v>10</v>
      </c>
      <c r="K18" s="6" t="n">
        <f aca="false">IF(I18=0,0,J18/I18)</f>
        <v>0.833333333333333</v>
      </c>
    </row>
    <row r="19" customFormat="false" ht="15" hidden="false" customHeight="false" outlineLevel="0" collapsed="false">
      <c r="A19" s="5" t="s">
        <v>460</v>
      </c>
      <c r="B19" s="5" t="n">
        <f aca="false">COUNTIF(Servicios!B:B,A19)</f>
        <v>18</v>
      </c>
      <c r="C19" s="5" t="n">
        <f aca="false">COUNTIFS(Servicios!B:B,A19,Servicios!I:I,"Hoy")</f>
        <v>8</v>
      </c>
      <c r="D19" s="5" t="n">
        <f aca="false">COUNTIFS(Servicios!B:B,A19,Servicios!I:I,"Corto plazo")</f>
        <v>8</v>
      </c>
      <c r="E19" s="5" t="n">
        <f aca="false">COUNTIFS(Servicios!B:B,A19,Servicios!I:I,"Desarrollo mayor")</f>
        <v>2</v>
      </c>
      <c r="F19" s="5" t="n">
        <f aca="false">COUNTIFS(Servicios!B:B,A19,Servicios!I:I,"No aplica")</f>
        <v>0</v>
      </c>
      <c r="G19" s="5" t="n">
        <f aca="false">C19+D19</f>
        <v>16</v>
      </c>
      <c r="H19" s="6" t="n">
        <f aca="false">IF(B19=0,0,G19/B19)</f>
        <v>0.888888888888889</v>
      </c>
      <c r="I19" s="5" t="n">
        <f aca="false">COUNTIFS(Servicios!B:B,A19,Servicios!D:D,"&lt;&gt;online")</f>
        <v>13</v>
      </c>
      <c r="J19" s="5" t="n">
        <f aca="false">COUNTIFS(Servicios!B:B,A19,Servicios!D:D,"&lt;&gt;online",Servicios!I:I,"Hoy")+COUNTIFS(Servicios!B:B,A19,Servicios!D:D,"&lt;&gt;online",Servicios!I:I,"Corto plazo")</f>
        <v>12</v>
      </c>
      <c r="K19" s="6" t="n">
        <f aca="false">IF(I19=0,0,J19/I19)</f>
        <v>0.923076923076923</v>
      </c>
    </row>
    <row r="20" customFormat="false" ht="15" hidden="false" customHeight="false" outlineLevel="0" collapsed="false">
      <c r="A20" s="5" t="s">
        <v>469</v>
      </c>
      <c r="B20" s="5" t="n">
        <f aca="false">COUNTIF(Servicios!B:B,A20)</f>
        <v>16</v>
      </c>
      <c r="C20" s="5" t="n">
        <f aca="false">COUNTIFS(Servicios!B:B,A20,Servicios!I:I,"Hoy")</f>
        <v>7</v>
      </c>
      <c r="D20" s="5" t="n">
        <f aca="false">COUNTIFS(Servicios!B:B,A20,Servicios!I:I,"Corto plazo")</f>
        <v>6</v>
      </c>
      <c r="E20" s="5" t="n">
        <f aca="false">COUNTIFS(Servicios!B:B,A20,Servicios!I:I,"Desarrollo mayor")</f>
        <v>2</v>
      </c>
      <c r="F20" s="5" t="n">
        <f aca="false">COUNTIFS(Servicios!B:B,A20,Servicios!I:I,"No aplica")</f>
        <v>1</v>
      </c>
      <c r="G20" s="5" t="n">
        <f aca="false">C20+D20</f>
        <v>13</v>
      </c>
      <c r="H20" s="6" t="n">
        <f aca="false">IF(B20=0,0,G20/B20)</f>
        <v>0.8125</v>
      </c>
      <c r="I20" s="5" t="n">
        <f aca="false">COUNTIFS(Servicios!B:B,A20,Servicios!D:D,"&lt;&gt;online")</f>
        <v>15</v>
      </c>
      <c r="J20" s="5" t="n">
        <f aca="false">COUNTIFS(Servicios!B:B,A20,Servicios!D:D,"&lt;&gt;online",Servicios!I:I,"Hoy")+COUNTIFS(Servicios!B:B,A20,Servicios!D:D,"&lt;&gt;online",Servicios!I:I,"Corto plazo")</f>
        <v>12</v>
      </c>
      <c r="K20" s="6" t="n">
        <f aca="false">IF(I20=0,0,J20/I20)</f>
        <v>0.8</v>
      </c>
    </row>
    <row r="21" customFormat="false" ht="15" hidden="false" customHeight="false" outlineLevel="0" collapsed="false">
      <c r="A21" s="5" t="s">
        <v>478</v>
      </c>
      <c r="B21" s="5" t="n">
        <f aca="false">COUNTIF(Servicios!B:B,A21)</f>
        <v>17</v>
      </c>
      <c r="C21" s="5" t="n">
        <f aca="false">COUNTIFS(Servicios!B:B,A21,Servicios!I:I,"Hoy")</f>
        <v>5</v>
      </c>
      <c r="D21" s="5" t="n">
        <f aca="false">COUNTIFS(Servicios!B:B,A21,Servicios!I:I,"Corto plazo")</f>
        <v>9</v>
      </c>
      <c r="E21" s="5" t="n">
        <f aca="false">COUNTIFS(Servicios!B:B,A21,Servicios!I:I,"Desarrollo mayor")</f>
        <v>1</v>
      </c>
      <c r="F21" s="5" t="n">
        <f aca="false">COUNTIFS(Servicios!B:B,A21,Servicios!I:I,"No aplica")</f>
        <v>2</v>
      </c>
      <c r="G21" s="5" t="n">
        <f aca="false">C21+D21</f>
        <v>14</v>
      </c>
      <c r="H21" s="6" t="n">
        <f aca="false">IF(B21=0,0,G21/B21)</f>
        <v>0.823529411764706</v>
      </c>
      <c r="I21" s="5" t="n">
        <f aca="false">COUNTIFS(Servicios!B:B,A21,Servicios!D:D,"&lt;&gt;online")</f>
        <v>12</v>
      </c>
      <c r="J21" s="5" t="n">
        <f aca="false">COUNTIFS(Servicios!B:B,A21,Servicios!D:D,"&lt;&gt;online",Servicios!I:I,"Hoy")+COUNTIFS(Servicios!B:B,A21,Servicios!D:D,"&lt;&gt;online",Servicios!I:I,"Corto plazo")</f>
        <v>11</v>
      </c>
      <c r="K21" s="6" t="n">
        <f aca="false">IF(I21=0,0,J21/I21)</f>
        <v>0.916666666666667</v>
      </c>
    </row>
    <row r="22" customFormat="false" ht="15" hidden="false" customHeight="false" outlineLevel="0" collapsed="false">
      <c r="A22" s="5" t="s">
        <v>487</v>
      </c>
      <c r="B22" s="5" t="n">
        <f aca="false">COUNTIF(Servicios!B:B,A22)</f>
        <v>14</v>
      </c>
      <c r="C22" s="5" t="n">
        <f aca="false">COUNTIFS(Servicios!B:B,A22,Servicios!I:I,"Hoy")</f>
        <v>6</v>
      </c>
      <c r="D22" s="5" t="n">
        <f aca="false">COUNTIFS(Servicios!B:B,A22,Servicios!I:I,"Corto plazo")</f>
        <v>6</v>
      </c>
      <c r="E22" s="5" t="n">
        <f aca="false">COUNTIFS(Servicios!B:B,A22,Servicios!I:I,"Desarrollo mayor")</f>
        <v>1</v>
      </c>
      <c r="F22" s="5" t="n">
        <f aca="false">COUNTIFS(Servicios!B:B,A22,Servicios!I:I,"No aplica")</f>
        <v>1</v>
      </c>
      <c r="G22" s="5" t="n">
        <f aca="false">C22+D22</f>
        <v>12</v>
      </c>
      <c r="H22" s="6" t="n">
        <f aca="false">IF(B22=0,0,G22/B22)</f>
        <v>0.857142857142857</v>
      </c>
      <c r="I22" s="5" t="n">
        <f aca="false">COUNTIFS(Servicios!B:B,A22,Servicios!D:D,"&lt;&gt;online")</f>
        <v>10</v>
      </c>
      <c r="J22" s="5" t="n">
        <f aca="false">COUNTIFS(Servicios!B:B,A22,Servicios!D:D,"&lt;&gt;online",Servicios!I:I,"Hoy")+COUNTIFS(Servicios!B:B,A22,Servicios!D:D,"&lt;&gt;online",Servicios!I:I,"Corto plazo")</f>
        <v>9</v>
      </c>
      <c r="K22" s="6" t="n">
        <f aca="false">IF(I22=0,0,J22/I22)</f>
        <v>0.9</v>
      </c>
    </row>
    <row r="23" customFormat="false" ht="15" hidden="false" customHeight="false" outlineLevel="0" collapsed="false">
      <c r="A23" s="5" t="s">
        <v>496</v>
      </c>
      <c r="B23" s="5" t="n">
        <f aca="false">COUNTIF(Servicios!B:B,A23)</f>
        <v>12</v>
      </c>
      <c r="C23" s="5" t="n">
        <f aca="false">COUNTIFS(Servicios!B:B,A23,Servicios!I:I,"Hoy")</f>
        <v>4</v>
      </c>
      <c r="D23" s="5" t="n">
        <f aca="false">COUNTIFS(Servicios!B:B,A23,Servicios!I:I,"Corto plazo")</f>
        <v>3</v>
      </c>
      <c r="E23" s="5" t="n">
        <f aca="false">COUNTIFS(Servicios!B:B,A23,Servicios!I:I,"Desarrollo mayor")</f>
        <v>3</v>
      </c>
      <c r="F23" s="5" t="n">
        <f aca="false">COUNTIFS(Servicios!B:B,A23,Servicios!I:I,"No aplica")</f>
        <v>2</v>
      </c>
      <c r="G23" s="5" t="n">
        <f aca="false">C23+D23</f>
        <v>7</v>
      </c>
      <c r="H23" s="6" t="n">
        <f aca="false">IF(B23=0,0,G23/B23)</f>
        <v>0.583333333333333</v>
      </c>
      <c r="I23" s="5" t="n">
        <f aca="false">COUNTIFS(Servicios!B:B,A23,Servicios!D:D,"&lt;&gt;online")</f>
        <v>8</v>
      </c>
      <c r="J23" s="5" t="n">
        <f aca="false">COUNTIFS(Servicios!B:B,A23,Servicios!D:D,"&lt;&gt;online",Servicios!I:I,"Hoy")+COUNTIFS(Servicios!B:B,A23,Servicios!D:D,"&lt;&gt;online",Servicios!I:I,"Corto plazo")</f>
        <v>4</v>
      </c>
      <c r="K23" s="6" t="n">
        <f aca="false">IF(I23=0,0,J23/I23)</f>
        <v>0.5</v>
      </c>
    </row>
    <row r="24" customFormat="false" ht="15" hidden="false" customHeight="false" outlineLevel="0" collapsed="false">
      <c r="A24" s="5" t="s">
        <v>504</v>
      </c>
      <c r="B24" s="5" t="n">
        <f aca="false">COUNTIF(Servicios!B:B,A24)</f>
        <v>11</v>
      </c>
      <c r="C24" s="5" t="n">
        <f aca="false">COUNTIFS(Servicios!B:B,A24,Servicios!I:I,"Hoy")</f>
        <v>4</v>
      </c>
      <c r="D24" s="5" t="n">
        <f aca="false">COUNTIFS(Servicios!B:B,A24,Servicios!I:I,"Corto plazo")</f>
        <v>3</v>
      </c>
      <c r="E24" s="5" t="n">
        <f aca="false">COUNTIFS(Servicios!B:B,A24,Servicios!I:I,"Desarrollo mayor")</f>
        <v>3</v>
      </c>
      <c r="F24" s="5" t="n">
        <f aca="false">COUNTIFS(Servicios!B:B,A24,Servicios!I:I,"No aplica")</f>
        <v>1</v>
      </c>
      <c r="G24" s="5" t="n">
        <f aca="false">C24+D24</f>
        <v>7</v>
      </c>
      <c r="H24" s="6" t="n">
        <f aca="false">IF(B24=0,0,G24/B24)</f>
        <v>0.636363636363636</v>
      </c>
      <c r="I24" s="5" t="n">
        <f aca="false">COUNTIFS(Servicios!B:B,A24,Servicios!D:D,"&lt;&gt;online")</f>
        <v>9</v>
      </c>
      <c r="J24" s="5" t="n">
        <f aca="false">COUNTIFS(Servicios!B:B,A24,Servicios!D:D,"&lt;&gt;online",Servicios!I:I,"Hoy")+COUNTIFS(Servicios!B:B,A24,Servicios!D:D,"&lt;&gt;online",Servicios!I:I,"Corto plazo")</f>
        <v>6</v>
      </c>
      <c r="K24" s="6" t="n">
        <f aca="false">IF(I24=0,0,J24/I24)</f>
        <v>0.666666666666667</v>
      </c>
    </row>
    <row r="25" customFormat="false" ht="15" hidden="false" customHeight="false" outlineLevel="0" collapsed="false">
      <c r="A25" s="5" t="s">
        <v>513</v>
      </c>
      <c r="B25" s="5" t="n">
        <f aca="false">COUNTIF(Servicios!B:B,A25)</f>
        <v>9</v>
      </c>
      <c r="C25" s="5" t="n">
        <f aca="false">COUNTIFS(Servicios!B:B,A25,Servicios!I:I,"Hoy")</f>
        <v>5</v>
      </c>
      <c r="D25" s="5" t="n">
        <f aca="false">COUNTIFS(Servicios!B:B,A25,Servicios!I:I,"Corto plazo")</f>
        <v>0</v>
      </c>
      <c r="E25" s="5" t="n">
        <f aca="false">COUNTIFS(Servicios!B:B,A25,Servicios!I:I,"Desarrollo mayor")</f>
        <v>4</v>
      </c>
      <c r="F25" s="5" t="n">
        <f aca="false">COUNTIFS(Servicios!B:B,A25,Servicios!I:I,"No aplica")</f>
        <v>0</v>
      </c>
      <c r="G25" s="5" t="n">
        <f aca="false">C25+D25</f>
        <v>5</v>
      </c>
      <c r="H25" s="6" t="n">
        <f aca="false">IF(B25=0,0,G25/B25)</f>
        <v>0.555555555555556</v>
      </c>
      <c r="I25" s="5" t="n">
        <f aca="false">COUNTIFS(Servicios!B:B,A25,Servicios!D:D,"&lt;&gt;online")</f>
        <v>6</v>
      </c>
      <c r="J25" s="5" t="n">
        <f aca="false">COUNTIFS(Servicios!B:B,A25,Servicios!D:D,"&lt;&gt;online",Servicios!I:I,"Hoy")+COUNTIFS(Servicios!B:B,A25,Servicios!D:D,"&lt;&gt;online",Servicios!I:I,"Corto plazo")</f>
        <v>4</v>
      </c>
      <c r="K25" s="6" t="n">
        <f aca="false">IF(I25=0,0,J25/I25)</f>
        <v>0.666666666666667</v>
      </c>
    </row>
    <row r="26" customFormat="false" ht="15" hidden="false" customHeight="false" outlineLevel="0" collapsed="false">
      <c r="A26" s="5" t="s">
        <v>521</v>
      </c>
      <c r="B26" s="5" t="n">
        <f aca="false">COUNTIF(Servicios!B:B,A26)</f>
        <v>13</v>
      </c>
      <c r="C26" s="5" t="n">
        <f aca="false">COUNTIFS(Servicios!B:B,A26,Servicios!I:I,"Hoy")</f>
        <v>7</v>
      </c>
      <c r="D26" s="5" t="n">
        <f aca="false">COUNTIFS(Servicios!B:B,A26,Servicios!I:I,"Corto plazo")</f>
        <v>3</v>
      </c>
      <c r="E26" s="5" t="n">
        <f aca="false">COUNTIFS(Servicios!B:B,A26,Servicios!I:I,"Desarrollo mayor")</f>
        <v>3</v>
      </c>
      <c r="F26" s="5" t="n">
        <f aca="false">COUNTIFS(Servicios!B:B,A26,Servicios!I:I,"No aplica")</f>
        <v>0</v>
      </c>
      <c r="G26" s="5" t="n">
        <f aca="false">C26+D26</f>
        <v>10</v>
      </c>
      <c r="H26" s="6" t="n">
        <f aca="false">IF(B26=0,0,G26/B26)</f>
        <v>0.769230769230769</v>
      </c>
      <c r="I26" s="5" t="n">
        <f aca="false">COUNTIFS(Servicios!B:B,A26,Servicios!D:D,"&lt;&gt;online")</f>
        <v>11</v>
      </c>
      <c r="J26" s="5" t="n">
        <f aca="false">COUNTIFS(Servicios!B:B,A26,Servicios!D:D,"&lt;&gt;online",Servicios!I:I,"Hoy")+COUNTIFS(Servicios!B:B,A26,Servicios!D:D,"&lt;&gt;online",Servicios!I:I,"Corto plazo")</f>
        <v>8</v>
      </c>
      <c r="K26" s="6" t="n">
        <f aca="false">IF(I26=0,0,J26/I26)</f>
        <v>0.727272727272727</v>
      </c>
    </row>
    <row r="27" customFormat="false" ht="15" hidden="false" customHeight="false" outlineLevel="0" collapsed="false">
      <c r="A27" s="5" t="s">
        <v>530</v>
      </c>
      <c r="B27" s="5" t="n">
        <f aca="false">COUNTIF(Servicios!B:B,A27)</f>
        <v>18</v>
      </c>
      <c r="C27" s="5" t="n">
        <f aca="false">COUNTIFS(Servicios!B:B,A27,Servicios!I:I,"Hoy")</f>
        <v>8</v>
      </c>
      <c r="D27" s="5" t="n">
        <f aca="false">COUNTIFS(Servicios!B:B,A27,Servicios!I:I,"Corto plazo")</f>
        <v>4</v>
      </c>
      <c r="E27" s="5" t="n">
        <f aca="false">COUNTIFS(Servicios!B:B,A27,Servicios!I:I,"Desarrollo mayor")</f>
        <v>5</v>
      </c>
      <c r="F27" s="5" t="n">
        <f aca="false">COUNTIFS(Servicios!B:B,A27,Servicios!I:I,"No aplica")</f>
        <v>1</v>
      </c>
      <c r="G27" s="5" t="n">
        <f aca="false">C27+D27</f>
        <v>12</v>
      </c>
      <c r="H27" s="6" t="n">
        <f aca="false">IF(B27=0,0,G27/B27)</f>
        <v>0.666666666666667</v>
      </c>
      <c r="I27" s="5" t="n">
        <f aca="false">COUNTIFS(Servicios!B:B,A27,Servicios!D:D,"&lt;&gt;online")</f>
        <v>14</v>
      </c>
      <c r="J27" s="5" t="n">
        <f aca="false">COUNTIFS(Servicios!B:B,A27,Servicios!D:D,"&lt;&gt;online",Servicios!I:I,"Hoy")+COUNTIFS(Servicios!B:B,A27,Servicios!D:D,"&lt;&gt;online",Servicios!I:I,"Corto plazo")</f>
        <v>9</v>
      </c>
      <c r="K27" s="6" t="n">
        <f aca="false">IF(I27=0,0,J27/I27)</f>
        <v>0.642857142857143</v>
      </c>
    </row>
    <row r="28" customFormat="false" ht="15" hidden="false" customHeight="false" outlineLevel="0" collapsed="false">
      <c r="A28" s="5" t="s">
        <v>538</v>
      </c>
      <c r="B28" s="5" t="n">
        <f aca="false">COUNTIF(Servicios!B:B,A28)</f>
        <v>15</v>
      </c>
      <c r="C28" s="5" t="n">
        <f aca="false">COUNTIFS(Servicios!B:B,A28,Servicios!I:I,"Hoy")</f>
        <v>7</v>
      </c>
      <c r="D28" s="5" t="n">
        <f aca="false">COUNTIFS(Servicios!B:B,A28,Servicios!I:I,"Corto plazo")</f>
        <v>6</v>
      </c>
      <c r="E28" s="5" t="n">
        <f aca="false">COUNTIFS(Servicios!B:B,A28,Servicios!I:I,"Desarrollo mayor")</f>
        <v>2</v>
      </c>
      <c r="F28" s="5" t="n">
        <f aca="false">COUNTIFS(Servicios!B:B,A28,Servicios!I:I,"No aplica")</f>
        <v>0</v>
      </c>
      <c r="G28" s="5" t="n">
        <f aca="false">C28+D28</f>
        <v>13</v>
      </c>
      <c r="H28" s="6" t="n">
        <f aca="false">IF(B28=0,0,G28/B28)</f>
        <v>0.866666666666667</v>
      </c>
      <c r="I28" s="5" t="n">
        <f aca="false">COUNTIFS(Servicios!B:B,A28,Servicios!D:D,"&lt;&gt;online")</f>
        <v>11</v>
      </c>
      <c r="J28" s="5" t="n">
        <f aca="false">COUNTIFS(Servicios!B:B,A28,Servicios!D:D,"&lt;&gt;online",Servicios!I:I,"Hoy")+COUNTIFS(Servicios!B:B,A28,Servicios!D:D,"&lt;&gt;online",Servicios!I:I,"Corto plazo")</f>
        <v>10</v>
      </c>
      <c r="K28" s="6" t="n">
        <f aca="false">IF(I28=0,0,J28/I28)</f>
        <v>0.909090909090909</v>
      </c>
    </row>
    <row r="29" customFormat="false" ht="15" hidden="false" customHeight="false" outlineLevel="0" collapsed="false">
      <c r="A29" s="5" t="s">
        <v>547</v>
      </c>
      <c r="B29" s="5" t="n">
        <f aca="false">COUNTIF(Servicios!B:B,A29)</f>
        <v>10</v>
      </c>
      <c r="C29" s="5" t="n">
        <f aca="false">COUNTIFS(Servicios!B:B,A29,Servicios!I:I,"Hoy")</f>
        <v>3</v>
      </c>
      <c r="D29" s="5" t="n">
        <f aca="false">COUNTIFS(Servicios!B:B,A29,Servicios!I:I,"Corto plazo")</f>
        <v>6</v>
      </c>
      <c r="E29" s="5" t="n">
        <f aca="false">COUNTIFS(Servicios!B:B,A29,Servicios!I:I,"Desarrollo mayor")</f>
        <v>1</v>
      </c>
      <c r="F29" s="5" t="n">
        <f aca="false">COUNTIFS(Servicios!B:B,A29,Servicios!I:I,"No aplica")</f>
        <v>0</v>
      </c>
      <c r="G29" s="5" t="n">
        <f aca="false">C29+D29</f>
        <v>9</v>
      </c>
      <c r="H29" s="6" t="n">
        <f aca="false">IF(B29=0,0,G29/B29)</f>
        <v>0.9</v>
      </c>
      <c r="I29" s="5" t="n">
        <f aca="false">COUNTIFS(Servicios!B:B,A29,Servicios!D:D,"&lt;&gt;online")</f>
        <v>9</v>
      </c>
      <c r="J29" s="5" t="n">
        <f aca="false">COUNTIFS(Servicios!B:B,A29,Servicios!D:D,"&lt;&gt;online",Servicios!I:I,"Hoy")+COUNTIFS(Servicios!B:B,A29,Servicios!D:D,"&lt;&gt;online",Servicios!I:I,"Corto plazo")</f>
        <v>9</v>
      </c>
      <c r="K29" s="6" t="n">
        <f aca="false">IF(I29=0,0,J29/I29)</f>
        <v>1</v>
      </c>
    </row>
    <row r="30" customFormat="false" ht="15" hidden="false" customHeight="false" outlineLevel="0" collapsed="false">
      <c r="A30" s="5" t="s">
        <v>556</v>
      </c>
      <c r="B30" s="5" t="n">
        <f aca="false">COUNTIF(Servicios!B:B,A30)</f>
        <v>12</v>
      </c>
      <c r="C30" s="5" t="n">
        <f aca="false">COUNTIFS(Servicios!B:B,A30,Servicios!I:I,"Hoy")</f>
        <v>7</v>
      </c>
      <c r="D30" s="5" t="n">
        <f aca="false">COUNTIFS(Servicios!B:B,A30,Servicios!I:I,"Corto plazo")</f>
        <v>2</v>
      </c>
      <c r="E30" s="5" t="n">
        <f aca="false">COUNTIFS(Servicios!B:B,A30,Servicios!I:I,"Desarrollo mayor")</f>
        <v>2</v>
      </c>
      <c r="F30" s="5" t="n">
        <f aca="false">COUNTIFS(Servicios!B:B,A30,Servicios!I:I,"No aplica")</f>
        <v>1</v>
      </c>
      <c r="G30" s="5" t="n">
        <f aca="false">C30+D30</f>
        <v>9</v>
      </c>
      <c r="H30" s="6" t="n">
        <f aca="false">IF(B30=0,0,G30/B30)</f>
        <v>0.75</v>
      </c>
      <c r="I30" s="5" t="n">
        <f aca="false">COUNTIFS(Servicios!B:B,A30,Servicios!D:D,"&lt;&gt;online")</f>
        <v>6</v>
      </c>
      <c r="J30" s="5" t="n">
        <f aca="false">COUNTIFS(Servicios!B:B,A30,Servicios!D:D,"&lt;&gt;online",Servicios!I:I,"Hoy")+COUNTIFS(Servicios!B:B,A30,Servicios!D:D,"&lt;&gt;online",Servicios!I:I,"Corto plazo")</f>
        <v>5</v>
      </c>
      <c r="K30" s="6" t="n">
        <f aca="false">IF(I30=0,0,J30/I30)</f>
        <v>0.833333333333333</v>
      </c>
    </row>
    <row r="31" customFormat="false" ht="15" hidden="false" customHeight="false" outlineLevel="0" collapsed="false">
      <c r="A31" s="5" t="s">
        <v>564</v>
      </c>
      <c r="B31" s="5" t="n">
        <f aca="false">COUNTIF(Servicios!B:B,A31)</f>
        <v>14</v>
      </c>
      <c r="C31" s="5" t="n">
        <f aca="false">COUNTIFS(Servicios!B:B,A31,Servicios!I:I,"Hoy")</f>
        <v>5</v>
      </c>
      <c r="D31" s="5" t="n">
        <f aca="false">COUNTIFS(Servicios!B:B,A31,Servicios!I:I,"Corto plazo")</f>
        <v>7</v>
      </c>
      <c r="E31" s="5" t="n">
        <f aca="false">COUNTIFS(Servicios!B:B,A31,Servicios!I:I,"Desarrollo mayor")</f>
        <v>2</v>
      </c>
      <c r="F31" s="5" t="n">
        <f aca="false">COUNTIFS(Servicios!B:B,A31,Servicios!I:I,"No aplica")</f>
        <v>0</v>
      </c>
      <c r="G31" s="5" t="n">
        <f aca="false">C31+D31</f>
        <v>12</v>
      </c>
      <c r="H31" s="6" t="n">
        <f aca="false">IF(B31=0,0,G31/B31)</f>
        <v>0.857142857142857</v>
      </c>
      <c r="I31" s="5" t="n">
        <f aca="false">COUNTIFS(Servicios!B:B,A31,Servicios!D:D,"&lt;&gt;online")</f>
        <v>12</v>
      </c>
      <c r="J31" s="5" t="n">
        <f aca="false">COUNTIFS(Servicios!B:B,A31,Servicios!D:D,"&lt;&gt;online",Servicios!I:I,"Hoy")+COUNTIFS(Servicios!B:B,A31,Servicios!D:D,"&lt;&gt;online",Servicios!I:I,"Corto plazo")</f>
        <v>11</v>
      </c>
      <c r="K31" s="6" t="n">
        <f aca="false">IF(I31=0,0,J31/I31)</f>
        <v>0.916666666666667</v>
      </c>
    </row>
    <row r="32" customFormat="false" ht="15" hidden="false" customHeight="false" outlineLevel="0" collapsed="false">
      <c r="A32" s="5" t="s">
        <v>573</v>
      </c>
      <c r="B32" s="5" t="n">
        <f aca="false">COUNTIF(Servicios!B:B,A32)</f>
        <v>16</v>
      </c>
      <c r="C32" s="5" t="n">
        <f aca="false">COUNTIFS(Servicios!B:B,A32,Servicios!I:I,"Hoy")</f>
        <v>5</v>
      </c>
      <c r="D32" s="5" t="n">
        <f aca="false">COUNTIFS(Servicios!B:B,A32,Servicios!I:I,"Corto plazo")</f>
        <v>8</v>
      </c>
      <c r="E32" s="5" t="n">
        <f aca="false">COUNTIFS(Servicios!B:B,A32,Servicios!I:I,"Desarrollo mayor")</f>
        <v>3</v>
      </c>
      <c r="F32" s="5" t="n">
        <f aca="false">COUNTIFS(Servicios!B:B,A32,Servicios!I:I,"No aplica")</f>
        <v>0</v>
      </c>
      <c r="G32" s="5" t="n">
        <f aca="false">C32+D32</f>
        <v>13</v>
      </c>
      <c r="H32" s="6" t="n">
        <f aca="false">IF(B32=0,0,G32/B32)</f>
        <v>0.8125</v>
      </c>
      <c r="I32" s="5" t="n">
        <f aca="false">COUNTIFS(Servicios!B:B,A32,Servicios!D:D,"&lt;&gt;online")</f>
        <v>14</v>
      </c>
      <c r="J32" s="5" t="n">
        <f aca="false">COUNTIFS(Servicios!B:B,A32,Servicios!D:D,"&lt;&gt;online",Servicios!I:I,"Hoy")+COUNTIFS(Servicios!B:B,A32,Servicios!D:D,"&lt;&gt;online",Servicios!I:I,"Corto plazo")</f>
        <v>12</v>
      </c>
      <c r="K32" s="6" t="n">
        <f aca="false">IF(I32=0,0,J32/I32)</f>
        <v>0.857142857142857</v>
      </c>
    </row>
    <row r="33" customFormat="false" ht="15" hidden="false" customHeight="false" outlineLevel="0" collapsed="false">
      <c r="A33" s="5" t="s">
        <v>581</v>
      </c>
      <c r="B33" s="5" t="n">
        <f aca="false">COUNTIF(Servicios!B:B,A33)</f>
        <v>16</v>
      </c>
      <c r="C33" s="5" t="n">
        <f aca="false">COUNTIFS(Servicios!B:B,A33,Servicios!I:I,"Hoy")</f>
        <v>5</v>
      </c>
      <c r="D33" s="5" t="n">
        <f aca="false">COUNTIFS(Servicios!B:B,A33,Servicios!I:I,"Corto plazo")</f>
        <v>8</v>
      </c>
      <c r="E33" s="5" t="n">
        <f aca="false">COUNTIFS(Servicios!B:B,A33,Servicios!I:I,"Desarrollo mayor")</f>
        <v>2</v>
      </c>
      <c r="F33" s="5" t="n">
        <f aca="false">COUNTIFS(Servicios!B:B,A33,Servicios!I:I,"No aplica")</f>
        <v>1</v>
      </c>
      <c r="G33" s="5" t="n">
        <f aca="false">C33+D33</f>
        <v>13</v>
      </c>
      <c r="H33" s="6" t="n">
        <f aca="false">IF(B33=0,0,G33/B33)</f>
        <v>0.8125</v>
      </c>
      <c r="I33" s="5" t="n">
        <f aca="false">COUNTIFS(Servicios!B:B,A33,Servicios!D:D,"&lt;&gt;online")</f>
        <v>10</v>
      </c>
      <c r="J33" s="5" t="n">
        <f aca="false">COUNTIFS(Servicios!B:B,A33,Servicios!D:D,"&lt;&gt;online",Servicios!I:I,"Hoy")+COUNTIFS(Servicios!B:B,A33,Servicios!D:D,"&lt;&gt;online",Servicios!I:I,"Corto plazo")</f>
        <v>9</v>
      </c>
      <c r="K33" s="6" t="n">
        <f aca="false">IF(I33=0,0,J33/I33)</f>
        <v>0.9</v>
      </c>
    </row>
    <row r="34" customFormat="false" ht="15" hidden="false" customHeight="false" outlineLevel="0" collapsed="false">
      <c r="A34" s="5" t="s">
        <v>589</v>
      </c>
      <c r="B34" s="5" t="n">
        <f aca="false">COUNTIF(Servicios!B:B,A34)</f>
        <v>11</v>
      </c>
      <c r="C34" s="5" t="n">
        <f aca="false">COUNTIFS(Servicios!B:B,A34,Servicios!I:I,"Hoy")</f>
        <v>4</v>
      </c>
      <c r="D34" s="5" t="n">
        <f aca="false">COUNTIFS(Servicios!B:B,A34,Servicios!I:I,"Corto plazo")</f>
        <v>5</v>
      </c>
      <c r="E34" s="5" t="n">
        <f aca="false">COUNTIFS(Servicios!B:B,A34,Servicios!I:I,"Desarrollo mayor")</f>
        <v>2</v>
      </c>
      <c r="F34" s="5" t="n">
        <f aca="false">COUNTIFS(Servicios!B:B,A34,Servicios!I:I,"No aplica")</f>
        <v>0</v>
      </c>
      <c r="G34" s="5" t="n">
        <f aca="false">C34+D34</f>
        <v>9</v>
      </c>
      <c r="H34" s="6" t="n">
        <f aca="false">IF(B34=0,0,G34/B34)</f>
        <v>0.818181818181818</v>
      </c>
      <c r="I34" s="5" t="n">
        <f aca="false">COUNTIFS(Servicios!B:B,A34,Servicios!D:D,"&lt;&gt;online")</f>
        <v>7</v>
      </c>
      <c r="J34" s="5" t="n">
        <f aca="false">COUNTIFS(Servicios!B:B,A34,Servicios!D:D,"&lt;&gt;online",Servicios!I:I,"Hoy")+COUNTIFS(Servicios!B:B,A34,Servicios!D:D,"&lt;&gt;online",Servicios!I:I,"Corto plazo")</f>
        <v>5</v>
      </c>
      <c r="K34" s="6" t="n">
        <f aca="false">IF(I34=0,0,J34/I34)</f>
        <v>0.714285714285714</v>
      </c>
    </row>
    <row r="35" customFormat="false" ht="15" hidden="false" customHeight="false" outlineLevel="0" collapsed="false">
      <c r="A35" s="5" t="s">
        <v>598</v>
      </c>
      <c r="B35" s="5" t="n">
        <f aca="false">COUNTIF(Servicios!B:B,A35)</f>
        <v>20</v>
      </c>
      <c r="C35" s="5" t="n">
        <f aca="false">COUNTIFS(Servicios!B:B,A35,Servicios!I:I,"Hoy")</f>
        <v>9</v>
      </c>
      <c r="D35" s="5" t="n">
        <f aca="false">COUNTIFS(Servicios!B:B,A35,Servicios!I:I,"Corto plazo")</f>
        <v>5</v>
      </c>
      <c r="E35" s="5" t="n">
        <f aca="false">COUNTIFS(Servicios!B:B,A35,Servicios!I:I,"Desarrollo mayor")</f>
        <v>3</v>
      </c>
      <c r="F35" s="5" t="n">
        <f aca="false">COUNTIFS(Servicios!B:B,A35,Servicios!I:I,"No aplica")</f>
        <v>3</v>
      </c>
      <c r="G35" s="5" t="n">
        <f aca="false">C35+D35</f>
        <v>14</v>
      </c>
      <c r="H35" s="6" t="n">
        <f aca="false">IF(B35=0,0,G35/B35)</f>
        <v>0.7</v>
      </c>
      <c r="I35" s="5" t="n">
        <f aca="false">COUNTIFS(Servicios!B:B,A35,Servicios!D:D,"&lt;&gt;online")</f>
        <v>16</v>
      </c>
      <c r="J35" s="5" t="n">
        <f aca="false">COUNTIFS(Servicios!B:B,A35,Servicios!D:D,"&lt;&gt;online",Servicios!I:I,"Hoy")+COUNTIFS(Servicios!B:B,A35,Servicios!D:D,"&lt;&gt;online",Servicios!I:I,"Corto plazo")</f>
        <v>11</v>
      </c>
      <c r="K35" s="6" t="n">
        <f aca="false">IF(I35=0,0,J35/I35)</f>
        <v>0.6875</v>
      </c>
    </row>
    <row r="36" customFormat="false" ht="15" hidden="false" customHeight="false" outlineLevel="0" collapsed="false">
      <c r="A36" s="5" t="s">
        <v>606</v>
      </c>
      <c r="B36" s="5" t="n">
        <f aca="false">COUNTIF(Servicios!B:B,A36)</f>
        <v>16</v>
      </c>
      <c r="C36" s="5" t="n">
        <f aca="false">COUNTIFS(Servicios!B:B,A36,Servicios!I:I,"Hoy")</f>
        <v>6</v>
      </c>
      <c r="D36" s="5" t="n">
        <f aca="false">COUNTIFS(Servicios!B:B,A36,Servicios!I:I,"Corto plazo")</f>
        <v>7</v>
      </c>
      <c r="E36" s="5" t="n">
        <f aca="false">COUNTIFS(Servicios!B:B,A36,Servicios!I:I,"Desarrollo mayor")</f>
        <v>3</v>
      </c>
      <c r="F36" s="5" t="n">
        <f aca="false">COUNTIFS(Servicios!B:B,A36,Servicios!I:I,"No aplica")</f>
        <v>0</v>
      </c>
      <c r="G36" s="5" t="n">
        <f aca="false">C36+D36</f>
        <v>13</v>
      </c>
      <c r="H36" s="6" t="n">
        <f aca="false">IF(B36=0,0,G36/B36)</f>
        <v>0.8125</v>
      </c>
      <c r="I36" s="5" t="n">
        <f aca="false">COUNTIFS(Servicios!B:B,A36,Servicios!D:D,"&lt;&gt;online")</f>
        <v>14</v>
      </c>
      <c r="J36" s="5" t="n">
        <f aca="false">COUNTIFS(Servicios!B:B,A36,Servicios!D:D,"&lt;&gt;online",Servicios!I:I,"Hoy")+COUNTIFS(Servicios!B:B,A36,Servicios!D:D,"&lt;&gt;online",Servicios!I:I,"Corto plazo")</f>
        <v>12</v>
      </c>
      <c r="K36" s="6" t="n">
        <f aca="false">IF(I36=0,0,J36/I36)</f>
        <v>0.857142857142857</v>
      </c>
    </row>
    <row r="37" customFormat="false" ht="15" hidden="false" customHeight="false" outlineLevel="0" collapsed="false">
      <c r="A37" s="5" t="s">
        <v>614</v>
      </c>
      <c r="B37" s="5" t="n">
        <f aca="false">COUNTIF(Servicios!B:B,A37)</f>
        <v>12</v>
      </c>
      <c r="C37" s="5" t="n">
        <f aca="false">COUNTIFS(Servicios!B:B,A37,Servicios!I:I,"Hoy")</f>
        <v>5</v>
      </c>
      <c r="D37" s="5" t="n">
        <f aca="false">COUNTIFS(Servicios!B:B,A37,Servicios!I:I,"Corto plazo")</f>
        <v>4</v>
      </c>
      <c r="E37" s="5" t="n">
        <f aca="false">COUNTIFS(Servicios!B:B,A37,Servicios!I:I,"Desarrollo mayor")</f>
        <v>3</v>
      </c>
      <c r="F37" s="5" t="n">
        <f aca="false">COUNTIFS(Servicios!B:B,A37,Servicios!I:I,"No aplica")</f>
        <v>0</v>
      </c>
      <c r="G37" s="5" t="n">
        <f aca="false">C37+D37</f>
        <v>9</v>
      </c>
      <c r="H37" s="6" t="n">
        <f aca="false">IF(B37=0,0,G37/B37)</f>
        <v>0.75</v>
      </c>
      <c r="I37" s="5" t="n">
        <f aca="false">COUNTIFS(Servicios!B:B,A37,Servicios!D:D,"&lt;&gt;online")</f>
        <v>8</v>
      </c>
      <c r="J37" s="5" t="n">
        <f aca="false">COUNTIFS(Servicios!B:B,A37,Servicios!D:D,"&lt;&gt;online",Servicios!I:I,"Hoy")+COUNTIFS(Servicios!B:B,A37,Servicios!D:D,"&lt;&gt;online",Servicios!I:I,"Corto plazo")</f>
        <v>6</v>
      </c>
      <c r="K37" s="6" t="n">
        <f aca="false">IF(I37=0,0,J37/I37)</f>
        <v>0.75</v>
      </c>
    </row>
    <row r="38" customFormat="false" ht="15" hidden="false" customHeight="false" outlineLevel="0" collapsed="false">
      <c r="A38" s="5" t="s">
        <v>622</v>
      </c>
      <c r="B38" s="5" t="n">
        <f aca="false">COUNTIF(Servicios!B:B,A38)</f>
        <v>15</v>
      </c>
      <c r="C38" s="5" t="n">
        <f aca="false">COUNTIFS(Servicios!B:B,A38,Servicios!I:I,"Hoy")</f>
        <v>4</v>
      </c>
      <c r="D38" s="5" t="n">
        <f aca="false">COUNTIFS(Servicios!B:B,A38,Servicios!I:I,"Corto plazo")</f>
        <v>7</v>
      </c>
      <c r="E38" s="5" t="n">
        <f aca="false">COUNTIFS(Servicios!B:B,A38,Servicios!I:I,"Desarrollo mayor")</f>
        <v>3</v>
      </c>
      <c r="F38" s="5" t="n">
        <f aca="false">COUNTIFS(Servicios!B:B,A38,Servicios!I:I,"No aplica")</f>
        <v>1</v>
      </c>
      <c r="G38" s="5" t="n">
        <f aca="false">C38+D38</f>
        <v>11</v>
      </c>
      <c r="H38" s="6" t="n">
        <f aca="false">IF(B38=0,0,G38/B38)</f>
        <v>0.733333333333333</v>
      </c>
      <c r="I38" s="5" t="n">
        <f aca="false">COUNTIFS(Servicios!B:B,A38,Servicios!D:D,"&lt;&gt;online")</f>
        <v>14</v>
      </c>
      <c r="J38" s="5" t="n">
        <f aca="false">COUNTIFS(Servicios!B:B,A38,Servicios!D:D,"&lt;&gt;online",Servicios!I:I,"Hoy")+COUNTIFS(Servicios!B:B,A38,Servicios!D:D,"&lt;&gt;online",Servicios!I:I,"Corto plazo")</f>
        <v>10</v>
      </c>
      <c r="K38" s="6" t="n">
        <f aca="false">IF(I38=0,0,J38/I38)</f>
        <v>0.714285714285714</v>
      </c>
    </row>
    <row r="39" customFormat="false" ht="15" hidden="false" customHeight="false" outlineLevel="0" collapsed="false">
      <c r="A39" s="5" t="s">
        <v>630</v>
      </c>
      <c r="B39" s="5" t="n">
        <f aca="false">COUNTIF(Servicios!B:B,A39)</f>
        <v>9</v>
      </c>
      <c r="C39" s="5" t="n">
        <f aca="false">COUNTIFS(Servicios!B:B,A39,Servicios!I:I,"Hoy")</f>
        <v>4</v>
      </c>
      <c r="D39" s="5" t="n">
        <f aca="false">COUNTIFS(Servicios!B:B,A39,Servicios!I:I,"Corto plazo")</f>
        <v>1</v>
      </c>
      <c r="E39" s="5" t="n">
        <f aca="false">COUNTIFS(Servicios!B:B,A39,Servicios!I:I,"Desarrollo mayor")</f>
        <v>2</v>
      </c>
      <c r="F39" s="5" t="n">
        <f aca="false">COUNTIFS(Servicios!B:B,A39,Servicios!I:I,"No aplica")</f>
        <v>2</v>
      </c>
      <c r="G39" s="5" t="n">
        <f aca="false">C39+D39</f>
        <v>5</v>
      </c>
      <c r="H39" s="6" t="n">
        <f aca="false">IF(B39=0,0,G39/B39)</f>
        <v>0.555555555555556</v>
      </c>
      <c r="I39" s="5" t="n">
        <f aca="false">COUNTIFS(Servicios!B:B,A39,Servicios!D:D,"&lt;&gt;online")</f>
        <v>4</v>
      </c>
      <c r="J39" s="5" t="n">
        <f aca="false">COUNTIFS(Servicios!B:B,A39,Servicios!D:D,"&lt;&gt;online",Servicios!I:I,"Hoy")+COUNTIFS(Servicios!B:B,A39,Servicios!D:D,"&lt;&gt;online",Servicios!I:I,"Corto plazo")</f>
        <v>3</v>
      </c>
      <c r="K39" s="6" t="n">
        <f aca="false">IF(I39=0,0,J39/I39)</f>
        <v>0.75</v>
      </c>
    </row>
    <row r="40" customFormat="false" ht="15" hidden="false" customHeight="false" outlineLevel="0" collapsed="false">
      <c r="A40" s="5" t="s">
        <v>639</v>
      </c>
      <c r="B40" s="5" t="n">
        <f aca="false">COUNTIF(Servicios!B:B,A40)</f>
        <v>9</v>
      </c>
      <c r="C40" s="5" t="n">
        <f aca="false">COUNTIFS(Servicios!B:B,A40,Servicios!I:I,"Hoy")</f>
        <v>4</v>
      </c>
      <c r="D40" s="5" t="n">
        <f aca="false">COUNTIFS(Servicios!B:B,A40,Servicios!I:I,"Corto plazo")</f>
        <v>0</v>
      </c>
      <c r="E40" s="5" t="n">
        <f aca="false">COUNTIFS(Servicios!B:B,A40,Servicios!I:I,"Desarrollo mayor")</f>
        <v>2</v>
      </c>
      <c r="F40" s="5" t="n">
        <f aca="false">COUNTIFS(Servicios!B:B,A40,Servicios!I:I,"No aplica")</f>
        <v>3</v>
      </c>
      <c r="G40" s="5" t="n">
        <f aca="false">C40+D40</f>
        <v>4</v>
      </c>
      <c r="H40" s="6" t="n">
        <f aca="false">IF(B40=0,0,G40/B40)</f>
        <v>0.444444444444444</v>
      </c>
      <c r="I40" s="5" t="n">
        <f aca="false">COUNTIFS(Servicios!B:B,A40,Servicios!D:D,"&lt;&gt;online")</f>
        <v>3</v>
      </c>
      <c r="J40" s="5" t="n">
        <f aca="false">COUNTIFS(Servicios!B:B,A40,Servicios!D:D,"&lt;&gt;online",Servicios!I:I,"Hoy")+COUNTIFS(Servicios!B:B,A40,Servicios!D:D,"&lt;&gt;online",Servicios!I:I,"Corto plazo")</f>
        <v>2</v>
      </c>
      <c r="K40" s="6" t="n">
        <f aca="false">IF(I40=0,0,J40/I40)</f>
        <v>0.666666666666667</v>
      </c>
    </row>
    <row r="41" customFormat="false" ht="15" hidden="false" customHeight="false" outlineLevel="0" collapsed="false">
      <c r="A41" s="5" t="s">
        <v>648</v>
      </c>
      <c r="B41" s="5" t="n">
        <f aca="false">COUNTIF(Servicios!B:B,A41)</f>
        <v>5</v>
      </c>
      <c r="C41" s="5" t="n">
        <f aca="false">COUNTIFS(Servicios!B:B,A41,Servicios!I:I,"Hoy")</f>
        <v>4</v>
      </c>
      <c r="D41" s="5" t="n">
        <f aca="false">COUNTIFS(Servicios!B:B,A41,Servicios!I:I,"Corto plazo")</f>
        <v>1</v>
      </c>
      <c r="E41" s="5" t="n">
        <f aca="false">COUNTIFS(Servicios!B:B,A41,Servicios!I:I,"Desarrollo mayor")</f>
        <v>0</v>
      </c>
      <c r="F41" s="5" t="n">
        <f aca="false">COUNTIFS(Servicios!B:B,A41,Servicios!I:I,"No aplica")</f>
        <v>0</v>
      </c>
      <c r="G41" s="5" t="n">
        <f aca="false">C41+D41</f>
        <v>5</v>
      </c>
      <c r="H41" s="6" t="n">
        <f aca="false">IF(B41=0,0,G41/B41)</f>
        <v>1</v>
      </c>
      <c r="I41" s="5" t="n">
        <f aca="false">COUNTIFS(Servicios!B:B,A41,Servicios!D:D,"&lt;&gt;online")</f>
        <v>3</v>
      </c>
      <c r="J41" s="5" t="n">
        <f aca="false">COUNTIFS(Servicios!B:B,A41,Servicios!D:D,"&lt;&gt;online",Servicios!I:I,"Hoy")+COUNTIFS(Servicios!B:B,A41,Servicios!D:D,"&lt;&gt;online",Servicios!I:I,"Corto plazo")</f>
        <v>3</v>
      </c>
      <c r="K41" s="6" t="n">
        <f aca="false">IF(I41=0,0,J41/I41)</f>
        <v>1</v>
      </c>
    </row>
    <row r="42" customFormat="false" ht="15" hidden="false" customHeight="false" outlineLevel="0" collapsed="false">
      <c r="A42" s="5" t="s">
        <v>657</v>
      </c>
      <c r="B42" s="5" t="n">
        <f aca="false">COUNTIF(Servicios!B:B,A42)</f>
        <v>14</v>
      </c>
      <c r="C42" s="5" t="n">
        <f aca="false">COUNTIFS(Servicios!B:B,A42,Servicios!I:I,"Hoy")</f>
        <v>6</v>
      </c>
      <c r="D42" s="5" t="n">
        <f aca="false">COUNTIFS(Servicios!B:B,A42,Servicios!I:I,"Corto plazo")</f>
        <v>1</v>
      </c>
      <c r="E42" s="5" t="n">
        <f aca="false">COUNTIFS(Servicios!B:B,A42,Servicios!I:I,"Desarrollo mayor")</f>
        <v>3</v>
      </c>
      <c r="F42" s="5" t="n">
        <f aca="false">COUNTIFS(Servicios!B:B,A42,Servicios!I:I,"No aplica")</f>
        <v>4</v>
      </c>
      <c r="G42" s="5" t="n">
        <f aca="false">C42+D42</f>
        <v>7</v>
      </c>
      <c r="H42" s="6" t="n">
        <f aca="false">IF(B42=0,0,G42/B42)</f>
        <v>0.5</v>
      </c>
      <c r="I42" s="5" t="n">
        <f aca="false">COUNTIFS(Servicios!B:B,A42,Servicios!D:D,"&lt;&gt;online")</f>
        <v>11</v>
      </c>
      <c r="J42" s="5" t="n">
        <f aca="false">COUNTIFS(Servicios!B:B,A42,Servicios!D:D,"&lt;&gt;online",Servicios!I:I,"Hoy")+COUNTIFS(Servicios!B:B,A42,Servicios!D:D,"&lt;&gt;online",Servicios!I:I,"Corto plazo")</f>
        <v>5</v>
      </c>
      <c r="K42" s="6" t="n">
        <f aca="false">IF(I42=0,0,J42/I42)</f>
        <v>0.454545454545455</v>
      </c>
    </row>
    <row r="43" customFormat="false" ht="23.85" hidden="false" customHeight="false" outlineLevel="0" collapsed="false">
      <c r="A43" s="5" t="s">
        <v>666</v>
      </c>
      <c r="B43" s="5" t="n">
        <f aca="false">COUNTIF(Servicios!B:B,A43)</f>
        <v>12</v>
      </c>
      <c r="C43" s="5" t="n">
        <f aca="false">COUNTIFS(Servicios!B:B,A43,Servicios!I:I,"Hoy")</f>
        <v>4</v>
      </c>
      <c r="D43" s="5" t="n">
        <f aca="false">COUNTIFS(Servicios!B:B,A43,Servicios!I:I,"Corto plazo")</f>
        <v>6</v>
      </c>
      <c r="E43" s="5" t="n">
        <f aca="false">COUNTIFS(Servicios!B:B,A43,Servicios!I:I,"Desarrollo mayor")</f>
        <v>2</v>
      </c>
      <c r="F43" s="5" t="n">
        <f aca="false">COUNTIFS(Servicios!B:B,A43,Servicios!I:I,"No aplica")</f>
        <v>0</v>
      </c>
      <c r="G43" s="5" t="n">
        <f aca="false">C43+D43</f>
        <v>10</v>
      </c>
      <c r="H43" s="6" t="n">
        <f aca="false">IF(B43=0,0,G43/B43)</f>
        <v>0.833333333333333</v>
      </c>
      <c r="I43" s="5" t="n">
        <f aca="false">COUNTIFS(Servicios!B:B,A43,Servicios!D:D,"&lt;&gt;online")</f>
        <v>12</v>
      </c>
      <c r="J43" s="5" t="n">
        <f aca="false">COUNTIFS(Servicios!B:B,A43,Servicios!D:D,"&lt;&gt;online",Servicios!I:I,"Hoy")+COUNTIFS(Servicios!B:B,A43,Servicios!D:D,"&lt;&gt;online",Servicios!I:I,"Corto plazo")</f>
        <v>10</v>
      </c>
      <c r="K43" s="6" t="n">
        <f aca="false">IF(I43=0,0,J43/I43)</f>
        <v>0.833333333333333</v>
      </c>
    </row>
    <row r="44" customFormat="false" ht="15" hidden="false" customHeight="false" outlineLevel="0" collapsed="false">
      <c r="A44" s="5" t="s">
        <v>675</v>
      </c>
      <c r="B44" s="5" t="n">
        <f aca="false">COUNTIF(Servicios!B:B,A44)</f>
        <v>17</v>
      </c>
      <c r="C44" s="5" t="n">
        <f aca="false">COUNTIFS(Servicios!B:B,A44,Servicios!I:I,"Hoy")</f>
        <v>6</v>
      </c>
      <c r="D44" s="5" t="n">
        <f aca="false">COUNTIFS(Servicios!B:B,A44,Servicios!I:I,"Corto plazo")</f>
        <v>6</v>
      </c>
      <c r="E44" s="5" t="n">
        <f aca="false">COUNTIFS(Servicios!B:B,A44,Servicios!I:I,"Desarrollo mayor")</f>
        <v>2</v>
      </c>
      <c r="F44" s="5" t="n">
        <f aca="false">COUNTIFS(Servicios!B:B,A44,Servicios!I:I,"No aplica")</f>
        <v>3</v>
      </c>
      <c r="G44" s="5" t="n">
        <f aca="false">C44+D44</f>
        <v>12</v>
      </c>
      <c r="H44" s="6" t="n">
        <f aca="false">IF(B44=0,0,G44/B44)</f>
        <v>0.705882352941177</v>
      </c>
      <c r="I44" s="5" t="n">
        <f aca="false">COUNTIFS(Servicios!B:B,A44,Servicios!D:D,"&lt;&gt;online")</f>
        <v>13</v>
      </c>
      <c r="J44" s="5" t="n">
        <f aca="false">COUNTIFS(Servicios!B:B,A44,Servicios!D:D,"&lt;&gt;online",Servicios!I:I,"Hoy")+COUNTIFS(Servicios!B:B,A44,Servicios!D:D,"&lt;&gt;online",Servicios!I:I,"Corto plazo")</f>
        <v>9</v>
      </c>
      <c r="K44" s="6" t="n">
        <f aca="false">IF(I44=0,0,J44/I44)</f>
        <v>0.692307692307692</v>
      </c>
    </row>
    <row r="45" customFormat="false" ht="15" hidden="false" customHeight="false" outlineLevel="0" collapsed="false">
      <c r="A45" s="5" t="s">
        <v>684</v>
      </c>
      <c r="B45" s="5" t="n">
        <f aca="false">COUNTIF(Servicios!B:B,A45)</f>
        <v>8</v>
      </c>
      <c r="C45" s="5" t="n">
        <f aca="false">COUNTIFS(Servicios!B:B,A45,Servicios!I:I,"Hoy")</f>
        <v>2</v>
      </c>
      <c r="D45" s="5" t="n">
        <f aca="false">COUNTIFS(Servicios!B:B,A45,Servicios!I:I,"Corto plazo")</f>
        <v>3</v>
      </c>
      <c r="E45" s="5" t="n">
        <f aca="false">COUNTIFS(Servicios!B:B,A45,Servicios!I:I,"Desarrollo mayor")</f>
        <v>2</v>
      </c>
      <c r="F45" s="5" t="n">
        <f aca="false">COUNTIFS(Servicios!B:B,A45,Servicios!I:I,"No aplica")</f>
        <v>1</v>
      </c>
      <c r="G45" s="5" t="n">
        <f aca="false">C45+D45</f>
        <v>5</v>
      </c>
      <c r="H45" s="6" t="n">
        <f aca="false">IF(B45=0,0,G45/B45)</f>
        <v>0.625</v>
      </c>
      <c r="I45" s="5" t="n">
        <f aca="false">COUNTIFS(Servicios!B:B,A45,Servicios!D:D,"&lt;&gt;online")</f>
        <v>5</v>
      </c>
      <c r="J45" s="5" t="n">
        <f aca="false">COUNTIFS(Servicios!B:B,A45,Servicios!D:D,"&lt;&gt;online",Servicios!I:I,"Hoy")+COUNTIFS(Servicios!B:B,A45,Servicios!D:D,"&lt;&gt;online",Servicios!I:I,"Corto plazo")</f>
        <v>4</v>
      </c>
      <c r="K45" s="6" t="n">
        <f aca="false">IF(I45=0,0,J45/I45)</f>
        <v>0.8</v>
      </c>
    </row>
    <row r="46" customFormat="false" ht="15" hidden="false" customHeight="false" outlineLevel="0" collapsed="false">
      <c r="A46" s="5" t="s">
        <v>692</v>
      </c>
      <c r="B46" s="5" t="n">
        <f aca="false">COUNTIF(Servicios!B:B,A46)</f>
        <v>11</v>
      </c>
      <c r="C46" s="5" t="n">
        <f aca="false">COUNTIFS(Servicios!B:B,A46,Servicios!I:I,"Hoy")</f>
        <v>3</v>
      </c>
      <c r="D46" s="5" t="n">
        <f aca="false">COUNTIFS(Servicios!B:B,A46,Servicios!I:I,"Corto plazo")</f>
        <v>5</v>
      </c>
      <c r="E46" s="5" t="n">
        <f aca="false">COUNTIFS(Servicios!B:B,A46,Servicios!I:I,"Desarrollo mayor")</f>
        <v>3</v>
      </c>
      <c r="F46" s="5" t="n">
        <f aca="false">COUNTIFS(Servicios!B:B,A46,Servicios!I:I,"No aplica")</f>
        <v>0</v>
      </c>
      <c r="G46" s="5" t="n">
        <f aca="false">C46+D46</f>
        <v>8</v>
      </c>
      <c r="H46" s="6" t="n">
        <f aca="false">IF(B46=0,0,G46/B46)</f>
        <v>0.727272727272727</v>
      </c>
      <c r="I46" s="5" t="n">
        <f aca="false">COUNTIFS(Servicios!B:B,A46,Servicios!D:D,"&lt;&gt;online")</f>
        <v>9</v>
      </c>
      <c r="J46" s="5" t="n">
        <f aca="false">COUNTIFS(Servicios!B:B,A46,Servicios!D:D,"&lt;&gt;online",Servicios!I:I,"Hoy")+COUNTIFS(Servicios!B:B,A46,Servicios!D:D,"&lt;&gt;online",Servicios!I:I,"Corto plazo")</f>
        <v>6</v>
      </c>
      <c r="K46" s="6" t="n">
        <f aca="false">IF(I46=0,0,J46/I46)</f>
        <v>0.666666666666667</v>
      </c>
    </row>
    <row r="47" customFormat="false" ht="15" hidden="false" customHeight="false" outlineLevel="0" collapsed="false">
      <c r="A47" s="5" t="s">
        <v>701</v>
      </c>
      <c r="B47" s="5" t="n">
        <f aca="false">COUNTIF(Servicios!B:B,A47)</f>
        <v>12</v>
      </c>
      <c r="C47" s="5" t="n">
        <f aca="false">COUNTIFS(Servicios!B:B,A47,Servicios!I:I,"Hoy")</f>
        <v>7</v>
      </c>
      <c r="D47" s="5" t="n">
        <f aca="false">COUNTIFS(Servicios!B:B,A47,Servicios!I:I,"Corto plazo")</f>
        <v>2</v>
      </c>
      <c r="E47" s="5" t="n">
        <f aca="false">COUNTIFS(Servicios!B:B,A47,Servicios!I:I,"Desarrollo mayor")</f>
        <v>2</v>
      </c>
      <c r="F47" s="5" t="n">
        <f aca="false">COUNTIFS(Servicios!B:B,A47,Servicios!I:I,"No aplica")</f>
        <v>1</v>
      </c>
      <c r="G47" s="5" t="n">
        <f aca="false">C47+D47</f>
        <v>9</v>
      </c>
      <c r="H47" s="6" t="n">
        <f aca="false">IF(B47=0,0,G47/B47)</f>
        <v>0.75</v>
      </c>
      <c r="I47" s="5" t="n">
        <f aca="false">COUNTIFS(Servicios!B:B,A47,Servicios!D:D,"&lt;&gt;online")</f>
        <v>9</v>
      </c>
      <c r="J47" s="5" t="n">
        <f aca="false">COUNTIFS(Servicios!B:B,A47,Servicios!D:D,"&lt;&gt;online",Servicios!I:I,"Hoy")+COUNTIFS(Servicios!B:B,A47,Servicios!D:D,"&lt;&gt;online",Servicios!I:I,"Corto plazo")</f>
        <v>7</v>
      </c>
      <c r="K47" s="6" t="n">
        <f aca="false">IF(I47=0,0,J47/I47)</f>
        <v>0.777777777777778</v>
      </c>
    </row>
    <row r="48" customFormat="false" ht="15" hidden="false" customHeight="false" outlineLevel="0" collapsed="false">
      <c r="A48" s="5" t="s">
        <v>710</v>
      </c>
      <c r="B48" s="5" t="n">
        <f aca="false">COUNTIF(Servicios!B:B,A48)</f>
        <v>13</v>
      </c>
      <c r="C48" s="5" t="n">
        <f aca="false">COUNTIFS(Servicios!B:B,A48,Servicios!I:I,"Hoy")</f>
        <v>7</v>
      </c>
      <c r="D48" s="5" t="n">
        <f aca="false">COUNTIFS(Servicios!B:B,A48,Servicios!I:I,"Corto plazo")</f>
        <v>4</v>
      </c>
      <c r="E48" s="5" t="n">
        <f aca="false">COUNTIFS(Servicios!B:B,A48,Servicios!I:I,"Desarrollo mayor")</f>
        <v>2</v>
      </c>
      <c r="F48" s="5" t="n">
        <f aca="false">COUNTIFS(Servicios!B:B,A48,Servicios!I:I,"No aplica")</f>
        <v>0</v>
      </c>
      <c r="G48" s="5" t="n">
        <f aca="false">C48+D48</f>
        <v>11</v>
      </c>
      <c r="H48" s="6" t="n">
        <f aca="false">IF(B48=0,0,G48/B48)</f>
        <v>0.846153846153846</v>
      </c>
      <c r="I48" s="5" t="n">
        <f aca="false">COUNTIFS(Servicios!B:B,A48,Servicios!D:D,"&lt;&gt;online")</f>
        <v>10</v>
      </c>
      <c r="J48" s="5" t="n">
        <f aca="false">COUNTIFS(Servicios!B:B,A48,Servicios!D:D,"&lt;&gt;online",Servicios!I:I,"Hoy")+COUNTIFS(Servicios!B:B,A48,Servicios!D:D,"&lt;&gt;online",Servicios!I:I,"Corto plazo")</f>
        <v>9</v>
      </c>
      <c r="K48" s="6" t="n">
        <f aca="false">IF(I48=0,0,J48/I48)</f>
        <v>0.9</v>
      </c>
    </row>
    <row r="49" customFormat="false" ht="15" hidden="false" customHeight="false" outlineLevel="0" collapsed="false">
      <c r="A49" s="5" t="s">
        <v>3939</v>
      </c>
      <c r="B49" s="5" t="n">
        <f aca="false">SUM(B2:B48)</f>
        <v>715</v>
      </c>
      <c r="C49" s="5" t="n">
        <f aca="false">SUM(C2:C48)</f>
        <v>292</v>
      </c>
      <c r="D49" s="5" t="n">
        <f aca="false">SUM(D2:D48)</f>
        <v>242</v>
      </c>
      <c r="E49" s="5" t="n">
        <f aca="false">SUM(E2:E48)</f>
        <v>137</v>
      </c>
      <c r="F49" s="5" t="n">
        <f aca="false">SUM(F2:F48)</f>
        <v>44</v>
      </c>
      <c r="G49" s="5" t="n">
        <f aca="false">SUM(G2:G48)</f>
        <v>534</v>
      </c>
      <c r="H49" s="6" t="n">
        <f aca="false">G49/B49</f>
        <v>0.746853146853147</v>
      </c>
      <c r="I49" s="5" t="n">
        <f aca="false">SUM(I2:I48)</f>
        <v>510</v>
      </c>
      <c r="J49" s="5" t="n">
        <f aca="false">SUM(J2:J48)</f>
        <v>396</v>
      </c>
      <c r="K49" s="6" t="n">
        <f aca="false">J49/I49</f>
        <v>0.776470588235294</v>
      </c>
    </row>
    <row r="51" customFormat="false" ht="15" hidden="false" customHeight="false" outlineLevel="0" collapsed="false">
      <c r="A51" s="7" t="s">
        <v>3940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6" min="3" style="0" width="4.5"/>
  </cols>
  <sheetData>
    <row r="1" customFormat="false" ht="18.65" hidden="false" customHeight="false" outlineLevel="0" collapsed="false">
      <c r="A1" s="8" t="s">
        <v>299</v>
      </c>
      <c r="B1" s="8" t="s">
        <v>3941</v>
      </c>
      <c r="C1" s="9" t="s">
        <v>23</v>
      </c>
      <c r="D1" s="9" t="s">
        <v>32</v>
      </c>
      <c r="E1" s="9" t="s">
        <v>41</v>
      </c>
      <c r="F1" s="9" t="s">
        <v>49</v>
      </c>
      <c r="G1" s="9" t="s">
        <v>57</v>
      </c>
      <c r="H1" s="9" t="s">
        <v>66</v>
      </c>
      <c r="I1" s="9" t="s">
        <v>74</v>
      </c>
      <c r="J1" s="9" t="s">
        <v>82</v>
      </c>
      <c r="K1" s="9" t="s">
        <v>90</v>
      </c>
      <c r="L1" s="9" t="s">
        <v>98</v>
      </c>
      <c r="M1" s="9" t="s">
        <v>106</v>
      </c>
      <c r="N1" s="9" t="s">
        <v>114</v>
      </c>
      <c r="O1" s="9" t="s">
        <v>122</v>
      </c>
      <c r="P1" s="9" t="s">
        <v>130</v>
      </c>
      <c r="Q1" s="9" t="s">
        <v>138</v>
      </c>
      <c r="R1" s="9" t="s">
        <v>146</v>
      </c>
      <c r="S1" s="9" t="s">
        <v>154</v>
      </c>
      <c r="T1" s="9" t="s">
        <v>162</v>
      </c>
      <c r="U1" s="9" t="s">
        <v>170</v>
      </c>
      <c r="V1" s="9" t="s">
        <v>178</v>
      </c>
      <c r="W1" s="9" t="s">
        <v>186</v>
      </c>
      <c r="X1" s="9" t="s">
        <v>194</v>
      </c>
      <c r="Y1" s="9" t="s">
        <v>202</v>
      </c>
      <c r="Z1" s="9" t="s">
        <v>210</v>
      </c>
      <c r="AA1" s="9" t="s">
        <v>218</v>
      </c>
      <c r="AB1" s="9" t="s">
        <v>226</v>
      </c>
      <c r="AC1" s="9" t="s">
        <v>234</v>
      </c>
      <c r="AD1" s="9" t="s">
        <v>242</v>
      </c>
      <c r="AE1" s="9" t="s">
        <v>250</v>
      </c>
      <c r="AF1" s="9" t="s">
        <v>258</v>
      </c>
      <c r="AG1" s="9" t="s">
        <v>266</v>
      </c>
      <c r="AH1" s="9" t="s">
        <v>274</v>
      </c>
      <c r="AI1" s="9" t="s">
        <v>282</v>
      </c>
      <c r="AJ1" s="9" t="s">
        <v>290</v>
      </c>
      <c r="AK1" s="8" t="s">
        <v>3942</v>
      </c>
    </row>
    <row r="2" customFormat="false" ht="15" hidden="false" customHeight="false" outlineLevel="0" collapsed="false">
      <c r="A2" s="10" t="s">
        <v>312</v>
      </c>
      <c r="B2" s="10" t="n">
        <f aca="false">INDEX(Sindicatos!F:F,MATCH(A2,Sindicatos!A:A,0))</f>
        <v>4</v>
      </c>
      <c r="C2" s="11" t="str">
        <f aca="false">IF(ISNUMBER(SEARCH(","&amp;$A2&amp;",",","&amp;SUBSTITUTE(INDEX(Propuestas!$E$2:$E$35,1),", ",",")&amp;",")),"●","")</f>
        <v/>
      </c>
      <c r="D2" s="11" t="str">
        <f aca="false">IF(ISNUMBER(SEARCH(","&amp;$A2&amp;",",","&amp;SUBSTITUTE(INDEX(Propuestas!$E$2:$E$35,2),", ",",")&amp;",")),"●","")</f>
        <v/>
      </c>
      <c r="E2" s="11" t="str">
        <f aca="false">IF(ISNUMBER(SEARCH(","&amp;$A2&amp;",",","&amp;SUBSTITUTE(INDEX(Propuestas!$E$2:$E$35,3),", ",",")&amp;",")),"●","")</f>
        <v/>
      </c>
      <c r="F2" s="11" t="str">
        <f aca="false">IF(ISNUMBER(SEARCH(","&amp;$A2&amp;",",","&amp;SUBSTITUTE(INDEX(Propuestas!$E$2:$E$35,4),", ",",")&amp;",")),"●","")</f>
        <v/>
      </c>
      <c r="G2" s="11" t="str">
        <f aca="false">IF(ISNUMBER(SEARCH(","&amp;$A2&amp;",",","&amp;SUBSTITUTE(INDEX(Propuestas!$E$2:$E$35,5),", ",",")&amp;",")),"●","")</f>
        <v/>
      </c>
      <c r="H2" s="11" t="str">
        <f aca="false">IF(ISNUMBER(SEARCH(","&amp;$A2&amp;",",","&amp;SUBSTITUTE(INDEX(Propuestas!$E$2:$E$35,6),", ",",")&amp;",")),"●","")</f>
        <v/>
      </c>
      <c r="I2" s="11" t="str">
        <f aca="false">IF(ISNUMBER(SEARCH(","&amp;$A2&amp;",",","&amp;SUBSTITUTE(INDEX(Propuestas!$E$2:$E$35,7),", ",",")&amp;",")),"●","")</f>
        <v/>
      </c>
      <c r="J2" s="11" t="str">
        <f aca="false">IF(ISNUMBER(SEARCH(","&amp;$A2&amp;",",","&amp;SUBSTITUTE(INDEX(Propuestas!$E$2:$E$35,8),", ",",")&amp;",")),"●","")</f>
        <v/>
      </c>
      <c r="K2" s="11" t="str">
        <f aca="false">IF(ISNUMBER(SEARCH(","&amp;$A2&amp;",",","&amp;SUBSTITUTE(INDEX(Propuestas!$E$2:$E$35,9),", ",",")&amp;",")),"●","")</f>
        <v>●</v>
      </c>
      <c r="L2" s="11" t="str">
        <f aca="false">IF(ISNUMBER(SEARCH(","&amp;$A2&amp;",",","&amp;SUBSTITUTE(INDEX(Propuestas!$E$2:$E$35,10),", ",",")&amp;",")),"●","")</f>
        <v/>
      </c>
      <c r="M2" s="11" t="str">
        <f aca="false">IF(ISNUMBER(SEARCH(","&amp;$A2&amp;",",","&amp;SUBSTITUTE(INDEX(Propuestas!$E$2:$E$35,11),", ",",")&amp;",")),"●","")</f>
        <v>●</v>
      </c>
      <c r="N2" s="11" t="str">
        <f aca="false">IF(ISNUMBER(SEARCH(","&amp;$A2&amp;",",","&amp;SUBSTITUTE(INDEX(Propuestas!$E$2:$E$35,12),", ",",")&amp;",")),"●","")</f>
        <v/>
      </c>
      <c r="O2" s="11" t="str">
        <f aca="false">IF(ISNUMBER(SEARCH(","&amp;$A2&amp;",",","&amp;SUBSTITUTE(INDEX(Propuestas!$E$2:$E$35,13),", ",",")&amp;",")),"●","")</f>
        <v/>
      </c>
      <c r="P2" s="11" t="str">
        <f aca="false">IF(ISNUMBER(SEARCH(","&amp;$A2&amp;",",","&amp;SUBSTITUTE(INDEX(Propuestas!$E$2:$E$35,14),", ",",")&amp;",")),"●","")</f>
        <v>●</v>
      </c>
      <c r="Q2" s="11" t="str">
        <f aca="false">IF(ISNUMBER(SEARCH(","&amp;$A2&amp;",",","&amp;SUBSTITUTE(INDEX(Propuestas!$E$2:$E$35,15),", ",",")&amp;",")),"●","")</f>
        <v>●</v>
      </c>
      <c r="R2" s="11" t="str">
        <f aca="false">IF(ISNUMBER(SEARCH(","&amp;$A2&amp;",",","&amp;SUBSTITUTE(INDEX(Propuestas!$E$2:$E$35,16),", ",",")&amp;",")),"●","")</f>
        <v>●</v>
      </c>
      <c r="S2" s="11" t="str">
        <f aca="false">IF(ISNUMBER(SEARCH(","&amp;$A2&amp;",",","&amp;SUBSTITUTE(INDEX(Propuestas!$E$2:$E$35,17),", ",",")&amp;",")),"●","")</f>
        <v>●</v>
      </c>
      <c r="T2" s="11" t="str">
        <f aca="false">IF(ISNUMBER(SEARCH(","&amp;$A2&amp;",",","&amp;SUBSTITUTE(INDEX(Propuestas!$E$2:$E$35,18),", ",",")&amp;",")),"●","")</f>
        <v>●</v>
      </c>
      <c r="U2" s="11" t="str">
        <f aca="false">IF(ISNUMBER(SEARCH(","&amp;$A2&amp;",",","&amp;SUBSTITUTE(INDEX(Propuestas!$E$2:$E$35,19),", ",",")&amp;",")),"●","")</f>
        <v/>
      </c>
      <c r="V2" s="11" t="str">
        <f aca="false">IF(ISNUMBER(SEARCH(","&amp;$A2&amp;",",","&amp;SUBSTITUTE(INDEX(Propuestas!$E$2:$E$35,20),", ",",")&amp;",")),"●","")</f>
        <v>●</v>
      </c>
      <c r="W2" s="11" t="str">
        <f aca="false">IF(ISNUMBER(SEARCH(","&amp;$A2&amp;",",","&amp;SUBSTITUTE(INDEX(Propuestas!$E$2:$E$35,21),", ",",")&amp;",")),"●","")</f>
        <v>●</v>
      </c>
      <c r="X2" s="11" t="str">
        <f aca="false">IF(ISNUMBER(SEARCH(","&amp;$A2&amp;",",","&amp;SUBSTITUTE(INDEX(Propuestas!$E$2:$E$35,22),", ",",")&amp;",")),"●","")</f>
        <v>●</v>
      </c>
      <c r="Y2" s="11" t="str">
        <f aca="false">IF(ISNUMBER(SEARCH(","&amp;$A2&amp;",",","&amp;SUBSTITUTE(INDEX(Propuestas!$E$2:$E$35,23),", ",",")&amp;",")),"●","")</f>
        <v/>
      </c>
      <c r="Z2" s="11" t="str">
        <f aca="false">IF(ISNUMBER(SEARCH(","&amp;$A2&amp;",",","&amp;SUBSTITUTE(INDEX(Propuestas!$E$2:$E$35,24),", ",",")&amp;",")),"●","")</f>
        <v>●</v>
      </c>
      <c r="AA2" s="11" t="str">
        <f aca="false">IF(ISNUMBER(SEARCH(","&amp;$A2&amp;",",","&amp;SUBSTITUTE(INDEX(Propuestas!$E$2:$E$35,25),", ",",")&amp;",")),"●","")</f>
        <v/>
      </c>
      <c r="AB2" s="11" t="str">
        <f aca="false">IF(ISNUMBER(SEARCH(","&amp;$A2&amp;",",","&amp;SUBSTITUTE(INDEX(Propuestas!$E$2:$E$35,26),", ",",")&amp;",")),"●","")</f>
        <v>●</v>
      </c>
      <c r="AC2" s="11" t="str">
        <f aca="false">IF(ISNUMBER(SEARCH(","&amp;$A2&amp;",",","&amp;SUBSTITUTE(INDEX(Propuestas!$E$2:$E$35,27),", ",",")&amp;",")),"●","")</f>
        <v/>
      </c>
      <c r="AD2" s="11" t="str">
        <f aca="false">IF(ISNUMBER(SEARCH(","&amp;$A2&amp;",",","&amp;SUBSTITUTE(INDEX(Propuestas!$E$2:$E$35,28),", ",",")&amp;",")),"●","")</f>
        <v>●</v>
      </c>
      <c r="AE2" s="11" t="str">
        <f aca="false">IF(ISNUMBER(SEARCH(","&amp;$A2&amp;",",","&amp;SUBSTITUTE(INDEX(Propuestas!$E$2:$E$35,29),", ",",")&amp;",")),"●","")</f>
        <v/>
      </c>
      <c r="AF2" s="11" t="str">
        <f aca="false">IF(ISNUMBER(SEARCH(","&amp;$A2&amp;",",","&amp;SUBSTITUTE(INDEX(Propuestas!$E$2:$E$35,30),", ",",")&amp;",")),"●","")</f>
        <v/>
      </c>
      <c r="AG2" s="11" t="str">
        <f aca="false">IF(ISNUMBER(SEARCH(","&amp;$A2&amp;",",","&amp;SUBSTITUTE(INDEX(Propuestas!$E$2:$E$35,31),", ",",")&amp;",")),"●","")</f>
        <v>●</v>
      </c>
      <c r="AH2" s="11" t="str">
        <f aca="false">IF(ISNUMBER(SEARCH(","&amp;$A2&amp;",",","&amp;SUBSTITUTE(INDEX(Propuestas!$E$2:$E$35,32),", ",",")&amp;",")),"●","")</f>
        <v/>
      </c>
      <c r="AI2" s="11" t="str">
        <f aca="false">IF(ISNUMBER(SEARCH(","&amp;$A2&amp;",",","&amp;SUBSTITUTE(INDEX(Propuestas!$E$2:$E$35,33),", ",",")&amp;",")),"●","")</f>
        <v/>
      </c>
      <c r="AJ2" s="11" t="str">
        <f aca="false">IF(ISNUMBER(SEARCH(","&amp;$A2&amp;",",","&amp;SUBSTITUTE(INDEX(Propuestas!$E$2:$E$35,34),", ",",")&amp;",")),"●","")</f>
        <v>●</v>
      </c>
      <c r="AK2" s="10" t="n">
        <f aca="false">COUNTIF(C2:AJ2,"●")</f>
        <v>15</v>
      </c>
    </row>
    <row r="3" customFormat="false" ht="15" hidden="false" customHeight="false" outlineLevel="0" collapsed="false">
      <c r="A3" s="10" t="s">
        <v>321</v>
      </c>
      <c r="B3" s="10" t="n">
        <f aca="false">INDEX(Sindicatos!F:F,MATCH(A3,Sindicatos!A:A,0))</f>
        <v>4</v>
      </c>
      <c r="C3" s="11" t="str">
        <f aca="false">IF(ISNUMBER(SEARCH(","&amp;$A3&amp;",",","&amp;SUBSTITUTE(INDEX(Propuestas!$E$2:$E$35,1),", ",",")&amp;",")),"●","")</f>
        <v>●</v>
      </c>
      <c r="D3" s="11" t="str">
        <f aca="false">IF(ISNUMBER(SEARCH(","&amp;$A3&amp;",",","&amp;SUBSTITUTE(INDEX(Propuestas!$E$2:$E$35,2),", ",",")&amp;",")),"●","")</f>
        <v/>
      </c>
      <c r="E3" s="11" t="str">
        <f aca="false">IF(ISNUMBER(SEARCH(","&amp;$A3&amp;",",","&amp;SUBSTITUTE(INDEX(Propuestas!$E$2:$E$35,3),", ",",")&amp;",")),"●","")</f>
        <v/>
      </c>
      <c r="F3" s="11" t="str">
        <f aca="false">IF(ISNUMBER(SEARCH(","&amp;$A3&amp;",",","&amp;SUBSTITUTE(INDEX(Propuestas!$E$2:$E$35,4),", ",",")&amp;",")),"●","")</f>
        <v>●</v>
      </c>
      <c r="G3" s="11" t="str">
        <f aca="false">IF(ISNUMBER(SEARCH(","&amp;$A3&amp;",",","&amp;SUBSTITUTE(INDEX(Propuestas!$E$2:$E$35,5),", ",",")&amp;",")),"●","")</f>
        <v/>
      </c>
      <c r="H3" s="11" t="str">
        <f aca="false">IF(ISNUMBER(SEARCH(","&amp;$A3&amp;",",","&amp;SUBSTITUTE(INDEX(Propuestas!$E$2:$E$35,6),", ",",")&amp;",")),"●","")</f>
        <v/>
      </c>
      <c r="I3" s="11" t="str">
        <f aca="false">IF(ISNUMBER(SEARCH(","&amp;$A3&amp;",",","&amp;SUBSTITUTE(INDEX(Propuestas!$E$2:$E$35,7),", ",",")&amp;",")),"●","")</f>
        <v/>
      </c>
      <c r="J3" s="11" t="str">
        <f aca="false">IF(ISNUMBER(SEARCH(","&amp;$A3&amp;",",","&amp;SUBSTITUTE(INDEX(Propuestas!$E$2:$E$35,8),", ",",")&amp;",")),"●","")</f>
        <v/>
      </c>
      <c r="K3" s="11" t="str">
        <f aca="false">IF(ISNUMBER(SEARCH(","&amp;$A3&amp;",",","&amp;SUBSTITUTE(INDEX(Propuestas!$E$2:$E$35,9),", ",",")&amp;",")),"●","")</f>
        <v/>
      </c>
      <c r="L3" s="11" t="str">
        <f aca="false">IF(ISNUMBER(SEARCH(","&amp;$A3&amp;",",","&amp;SUBSTITUTE(INDEX(Propuestas!$E$2:$E$35,10),", ",",")&amp;",")),"●","")</f>
        <v>●</v>
      </c>
      <c r="M3" s="11" t="str">
        <f aca="false">IF(ISNUMBER(SEARCH(","&amp;$A3&amp;",",","&amp;SUBSTITUTE(INDEX(Propuestas!$E$2:$E$35,11),", ",",")&amp;",")),"●","")</f>
        <v/>
      </c>
      <c r="N3" s="11" t="str">
        <f aca="false">IF(ISNUMBER(SEARCH(","&amp;$A3&amp;",",","&amp;SUBSTITUTE(INDEX(Propuestas!$E$2:$E$35,12),", ",",")&amp;",")),"●","")</f>
        <v>●</v>
      </c>
      <c r="O3" s="11" t="str">
        <f aca="false">IF(ISNUMBER(SEARCH(","&amp;$A3&amp;",",","&amp;SUBSTITUTE(INDEX(Propuestas!$E$2:$E$35,13),", ",",")&amp;",")),"●","")</f>
        <v>●</v>
      </c>
      <c r="P3" s="11" t="str">
        <f aca="false">IF(ISNUMBER(SEARCH(","&amp;$A3&amp;",",","&amp;SUBSTITUTE(INDEX(Propuestas!$E$2:$E$35,14),", ",",")&amp;",")),"●","")</f>
        <v>●</v>
      </c>
      <c r="Q3" s="11" t="str">
        <f aca="false">IF(ISNUMBER(SEARCH(","&amp;$A3&amp;",",","&amp;SUBSTITUTE(INDEX(Propuestas!$E$2:$E$35,15),", ",",")&amp;",")),"●","")</f>
        <v>●</v>
      </c>
      <c r="R3" s="11" t="str">
        <f aca="false">IF(ISNUMBER(SEARCH(","&amp;$A3&amp;",",","&amp;SUBSTITUTE(INDEX(Propuestas!$E$2:$E$35,16),", ",",")&amp;",")),"●","")</f>
        <v/>
      </c>
      <c r="S3" s="11" t="str">
        <f aca="false">IF(ISNUMBER(SEARCH(","&amp;$A3&amp;",",","&amp;SUBSTITUTE(INDEX(Propuestas!$E$2:$E$35,17),", ",",")&amp;",")),"●","")</f>
        <v/>
      </c>
      <c r="T3" s="11" t="str">
        <f aca="false">IF(ISNUMBER(SEARCH(","&amp;$A3&amp;",",","&amp;SUBSTITUTE(INDEX(Propuestas!$E$2:$E$35,18),", ",",")&amp;",")),"●","")</f>
        <v/>
      </c>
      <c r="U3" s="11" t="str">
        <f aca="false">IF(ISNUMBER(SEARCH(","&amp;$A3&amp;",",","&amp;SUBSTITUTE(INDEX(Propuestas!$E$2:$E$35,19),", ",",")&amp;",")),"●","")</f>
        <v/>
      </c>
      <c r="V3" s="11" t="str">
        <f aca="false">IF(ISNUMBER(SEARCH(","&amp;$A3&amp;",",","&amp;SUBSTITUTE(INDEX(Propuestas!$E$2:$E$35,20),", ",",")&amp;",")),"●","")</f>
        <v>●</v>
      </c>
      <c r="W3" s="11" t="str">
        <f aca="false">IF(ISNUMBER(SEARCH(","&amp;$A3&amp;",",","&amp;SUBSTITUTE(INDEX(Propuestas!$E$2:$E$35,21),", ",",")&amp;",")),"●","")</f>
        <v/>
      </c>
      <c r="X3" s="11" t="str">
        <f aca="false">IF(ISNUMBER(SEARCH(","&amp;$A3&amp;",",","&amp;SUBSTITUTE(INDEX(Propuestas!$E$2:$E$35,22),", ",",")&amp;",")),"●","")</f>
        <v/>
      </c>
      <c r="Y3" s="11" t="str">
        <f aca="false">IF(ISNUMBER(SEARCH(","&amp;$A3&amp;",",","&amp;SUBSTITUTE(INDEX(Propuestas!$E$2:$E$35,23),", ",",")&amp;",")),"●","")</f>
        <v>●</v>
      </c>
      <c r="Z3" s="11" t="str">
        <f aca="false">IF(ISNUMBER(SEARCH(","&amp;$A3&amp;",",","&amp;SUBSTITUTE(INDEX(Propuestas!$E$2:$E$35,24),", ",",")&amp;",")),"●","")</f>
        <v/>
      </c>
      <c r="AA3" s="11" t="str">
        <f aca="false">IF(ISNUMBER(SEARCH(","&amp;$A3&amp;",",","&amp;SUBSTITUTE(INDEX(Propuestas!$E$2:$E$35,25),", ",",")&amp;",")),"●","")</f>
        <v/>
      </c>
      <c r="AB3" s="11" t="str">
        <f aca="false">IF(ISNUMBER(SEARCH(","&amp;$A3&amp;",",","&amp;SUBSTITUTE(INDEX(Propuestas!$E$2:$E$35,26),", ",",")&amp;",")),"●","")</f>
        <v/>
      </c>
      <c r="AC3" s="11" t="str">
        <f aca="false">IF(ISNUMBER(SEARCH(","&amp;$A3&amp;",",","&amp;SUBSTITUTE(INDEX(Propuestas!$E$2:$E$35,27),", ",",")&amp;",")),"●","")</f>
        <v/>
      </c>
      <c r="AD3" s="11" t="str">
        <f aca="false">IF(ISNUMBER(SEARCH(","&amp;$A3&amp;",",","&amp;SUBSTITUTE(INDEX(Propuestas!$E$2:$E$35,28),", ",",")&amp;",")),"●","")</f>
        <v/>
      </c>
      <c r="AE3" s="11" t="str">
        <f aca="false">IF(ISNUMBER(SEARCH(","&amp;$A3&amp;",",","&amp;SUBSTITUTE(INDEX(Propuestas!$E$2:$E$35,29),", ",",")&amp;",")),"●","")</f>
        <v/>
      </c>
      <c r="AF3" s="11" t="str">
        <f aca="false">IF(ISNUMBER(SEARCH(","&amp;$A3&amp;",",","&amp;SUBSTITUTE(INDEX(Propuestas!$E$2:$E$35,30),", ",",")&amp;",")),"●","")</f>
        <v>●</v>
      </c>
      <c r="AG3" s="11" t="str">
        <f aca="false">IF(ISNUMBER(SEARCH(","&amp;$A3&amp;",",","&amp;SUBSTITUTE(INDEX(Propuestas!$E$2:$E$35,31),", ",",")&amp;",")),"●","")</f>
        <v/>
      </c>
      <c r="AH3" s="11" t="str">
        <f aca="false">IF(ISNUMBER(SEARCH(","&amp;$A3&amp;",",","&amp;SUBSTITUTE(INDEX(Propuestas!$E$2:$E$35,32),", ",",")&amp;",")),"●","")</f>
        <v/>
      </c>
      <c r="AI3" s="11" t="str">
        <f aca="false">IF(ISNUMBER(SEARCH(","&amp;$A3&amp;",",","&amp;SUBSTITUTE(INDEX(Propuestas!$E$2:$E$35,33),", ",",")&amp;",")),"●","")</f>
        <v/>
      </c>
      <c r="AJ3" s="11" t="str">
        <f aca="false">IF(ISNUMBER(SEARCH(","&amp;$A3&amp;",",","&amp;SUBSTITUTE(INDEX(Propuestas!$E$2:$E$35,34),", ",",")&amp;",")),"●","")</f>
        <v/>
      </c>
      <c r="AK3" s="10" t="n">
        <f aca="false">COUNTIF(C3:AJ3,"●")</f>
        <v>10</v>
      </c>
    </row>
    <row r="4" customFormat="false" ht="15" hidden="false" customHeight="false" outlineLevel="0" collapsed="false">
      <c r="A4" s="10" t="s">
        <v>330</v>
      </c>
      <c r="B4" s="10" t="n">
        <f aca="false">INDEX(Sindicatos!F:F,MATCH(A4,Sindicatos!A:A,0))</f>
        <v>4</v>
      </c>
      <c r="C4" s="11" t="str">
        <f aca="false">IF(ISNUMBER(SEARCH(","&amp;$A4&amp;",",","&amp;SUBSTITUTE(INDEX(Propuestas!$E$2:$E$35,1),", ",",")&amp;",")),"●","")</f>
        <v>●</v>
      </c>
      <c r="D4" s="11" t="str">
        <f aca="false">IF(ISNUMBER(SEARCH(","&amp;$A4&amp;",",","&amp;SUBSTITUTE(INDEX(Propuestas!$E$2:$E$35,2),", ",",")&amp;",")),"●","")</f>
        <v>●</v>
      </c>
      <c r="E4" s="11" t="str">
        <f aca="false">IF(ISNUMBER(SEARCH(","&amp;$A4&amp;",",","&amp;SUBSTITUTE(INDEX(Propuestas!$E$2:$E$35,3),", ",",")&amp;",")),"●","")</f>
        <v/>
      </c>
      <c r="F4" s="11" t="str">
        <f aca="false">IF(ISNUMBER(SEARCH(","&amp;$A4&amp;",",","&amp;SUBSTITUTE(INDEX(Propuestas!$E$2:$E$35,4),", ",",")&amp;",")),"●","")</f>
        <v>●</v>
      </c>
      <c r="G4" s="11" t="str">
        <f aca="false">IF(ISNUMBER(SEARCH(","&amp;$A4&amp;",",","&amp;SUBSTITUTE(INDEX(Propuestas!$E$2:$E$35,5),", ",",")&amp;",")),"●","")</f>
        <v/>
      </c>
      <c r="H4" s="11" t="str">
        <f aca="false">IF(ISNUMBER(SEARCH(","&amp;$A4&amp;",",","&amp;SUBSTITUTE(INDEX(Propuestas!$E$2:$E$35,6),", ",",")&amp;",")),"●","")</f>
        <v/>
      </c>
      <c r="I4" s="11" t="str">
        <f aca="false">IF(ISNUMBER(SEARCH(","&amp;$A4&amp;",",","&amp;SUBSTITUTE(INDEX(Propuestas!$E$2:$E$35,7),", ",",")&amp;",")),"●","")</f>
        <v/>
      </c>
      <c r="J4" s="11" t="str">
        <f aca="false">IF(ISNUMBER(SEARCH(","&amp;$A4&amp;",",","&amp;SUBSTITUTE(INDEX(Propuestas!$E$2:$E$35,8),", ",",")&amp;",")),"●","")</f>
        <v/>
      </c>
      <c r="K4" s="11" t="str">
        <f aca="false">IF(ISNUMBER(SEARCH(","&amp;$A4&amp;",",","&amp;SUBSTITUTE(INDEX(Propuestas!$E$2:$E$35,9),", ",",")&amp;",")),"●","")</f>
        <v/>
      </c>
      <c r="L4" s="11" t="str">
        <f aca="false">IF(ISNUMBER(SEARCH(","&amp;$A4&amp;",",","&amp;SUBSTITUTE(INDEX(Propuestas!$E$2:$E$35,10),", ",",")&amp;",")),"●","")</f>
        <v>●</v>
      </c>
      <c r="M4" s="11" t="str">
        <f aca="false">IF(ISNUMBER(SEARCH(","&amp;$A4&amp;",",","&amp;SUBSTITUTE(INDEX(Propuestas!$E$2:$E$35,11),", ",",")&amp;",")),"●","")</f>
        <v/>
      </c>
      <c r="N4" s="11" t="str">
        <f aca="false">IF(ISNUMBER(SEARCH(","&amp;$A4&amp;",",","&amp;SUBSTITUTE(INDEX(Propuestas!$E$2:$E$35,12),", ",",")&amp;",")),"●","")</f>
        <v/>
      </c>
      <c r="O4" s="11" t="str">
        <f aca="false">IF(ISNUMBER(SEARCH(","&amp;$A4&amp;",",","&amp;SUBSTITUTE(INDEX(Propuestas!$E$2:$E$35,13),", ",",")&amp;",")),"●","")</f>
        <v/>
      </c>
      <c r="P4" s="11" t="str">
        <f aca="false">IF(ISNUMBER(SEARCH(","&amp;$A4&amp;",",","&amp;SUBSTITUTE(INDEX(Propuestas!$E$2:$E$35,14),", ",",")&amp;",")),"●","")</f>
        <v/>
      </c>
      <c r="Q4" s="11" t="str">
        <f aca="false">IF(ISNUMBER(SEARCH(","&amp;$A4&amp;",",","&amp;SUBSTITUTE(INDEX(Propuestas!$E$2:$E$35,15),", ",",")&amp;",")),"●","")</f>
        <v>●</v>
      </c>
      <c r="R4" s="11" t="str">
        <f aca="false">IF(ISNUMBER(SEARCH(","&amp;$A4&amp;",",","&amp;SUBSTITUTE(INDEX(Propuestas!$E$2:$E$35,16),", ",",")&amp;",")),"●","")</f>
        <v/>
      </c>
      <c r="S4" s="11" t="str">
        <f aca="false">IF(ISNUMBER(SEARCH(","&amp;$A4&amp;",",","&amp;SUBSTITUTE(INDEX(Propuestas!$E$2:$E$35,17),", ",",")&amp;",")),"●","")</f>
        <v>●</v>
      </c>
      <c r="T4" s="11" t="str">
        <f aca="false">IF(ISNUMBER(SEARCH(","&amp;$A4&amp;",",","&amp;SUBSTITUTE(INDEX(Propuestas!$E$2:$E$35,18),", ",",")&amp;",")),"●","")</f>
        <v>●</v>
      </c>
      <c r="U4" s="11" t="str">
        <f aca="false">IF(ISNUMBER(SEARCH(","&amp;$A4&amp;",",","&amp;SUBSTITUTE(INDEX(Propuestas!$E$2:$E$35,19),", ",",")&amp;",")),"●","")</f>
        <v>●</v>
      </c>
      <c r="V4" s="11" t="str">
        <f aca="false">IF(ISNUMBER(SEARCH(","&amp;$A4&amp;",",","&amp;SUBSTITUTE(INDEX(Propuestas!$E$2:$E$35,20),", ",",")&amp;",")),"●","")</f>
        <v>●</v>
      </c>
      <c r="W4" s="11" t="str">
        <f aca="false">IF(ISNUMBER(SEARCH(","&amp;$A4&amp;",",","&amp;SUBSTITUTE(INDEX(Propuestas!$E$2:$E$35,21),", ",",")&amp;",")),"●","")</f>
        <v/>
      </c>
      <c r="X4" s="11" t="str">
        <f aca="false">IF(ISNUMBER(SEARCH(","&amp;$A4&amp;",",","&amp;SUBSTITUTE(INDEX(Propuestas!$E$2:$E$35,22),", ",",")&amp;",")),"●","")</f>
        <v/>
      </c>
      <c r="Y4" s="11" t="str">
        <f aca="false">IF(ISNUMBER(SEARCH(","&amp;$A4&amp;",",","&amp;SUBSTITUTE(INDEX(Propuestas!$E$2:$E$35,23),", ",",")&amp;",")),"●","")</f>
        <v/>
      </c>
      <c r="Z4" s="11" t="str">
        <f aca="false">IF(ISNUMBER(SEARCH(","&amp;$A4&amp;",",","&amp;SUBSTITUTE(INDEX(Propuestas!$E$2:$E$35,24),", ",",")&amp;",")),"●","")</f>
        <v/>
      </c>
      <c r="AA4" s="11" t="str">
        <f aca="false">IF(ISNUMBER(SEARCH(","&amp;$A4&amp;",",","&amp;SUBSTITUTE(INDEX(Propuestas!$E$2:$E$35,25),", ",",")&amp;",")),"●","")</f>
        <v/>
      </c>
      <c r="AB4" s="11" t="str">
        <f aca="false">IF(ISNUMBER(SEARCH(","&amp;$A4&amp;",",","&amp;SUBSTITUTE(INDEX(Propuestas!$E$2:$E$35,26),", ",",")&amp;",")),"●","")</f>
        <v/>
      </c>
      <c r="AC4" s="11" t="str">
        <f aca="false">IF(ISNUMBER(SEARCH(","&amp;$A4&amp;",",","&amp;SUBSTITUTE(INDEX(Propuestas!$E$2:$E$35,27),", ",",")&amp;",")),"●","")</f>
        <v/>
      </c>
      <c r="AD4" s="11" t="str">
        <f aca="false">IF(ISNUMBER(SEARCH(","&amp;$A4&amp;",",","&amp;SUBSTITUTE(INDEX(Propuestas!$E$2:$E$35,28),", ",",")&amp;",")),"●","")</f>
        <v/>
      </c>
      <c r="AE4" s="11" t="str">
        <f aca="false">IF(ISNUMBER(SEARCH(","&amp;$A4&amp;",",","&amp;SUBSTITUTE(INDEX(Propuestas!$E$2:$E$35,29),", ",",")&amp;",")),"●","")</f>
        <v/>
      </c>
      <c r="AF4" s="11" t="str">
        <f aca="false">IF(ISNUMBER(SEARCH(","&amp;$A4&amp;",",","&amp;SUBSTITUTE(INDEX(Propuestas!$E$2:$E$35,30),", ",",")&amp;",")),"●","")</f>
        <v/>
      </c>
      <c r="AG4" s="11" t="str">
        <f aca="false">IF(ISNUMBER(SEARCH(","&amp;$A4&amp;",",","&amp;SUBSTITUTE(INDEX(Propuestas!$E$2:$E$35,31),", ",",")&amp;",")),"●","")</f>
        <v>●</v>
      </c>
      <c r="AH4" s="11" t="str">
        <f aca="false">IF(ISNUMBER(SEARCH(","&amp;$A4&amp;",",","&amp;SUBSTITUTE(INDEX(Propuestas!$E$2:$E$35,32),", ",",")&amp;",")),"●","")</f>
        <v/>
      </c>
      <c r="AI4" s="11" t="str">
        <f aca="false">IF(ISNUMBER(SEARCH(","&amp;$A4&amp;",",","&amp;SUBSTITUTE(INDEX(Propuestas!$E$2:$E$35,33),", ",",")&amp;",")),"●","")</f>
        <v/>
      </c>
      <c r="AJ4" s="11" t="str">
        <f aca="false">IF(ISNUMBER(SEARCH(","&amp;$A4&amp;",",","&amp;SUBSTITUTE(INDEX(Propuestas!$E$2:$E$35,34),", ",",")&amp;",")),"●","")</f>
        <v/>
      </c>
      <c r="AK4" s="10" t="n">
        <f aca="false">COUNTIF(C4:AJ4,"●")</f>
        <v>10</v>
      </c>
    </row>
    <row r="5" customFormat="false" ht="15" hidden="false" customHeight="false" outlineLevel="0" collapsed="false">
      <c r="A5" s="10" t="s">
        <v>339</v>
      </c>
      <c r="B5" s="10" t="n">
        <f aca="false">INDEX(Sindicatos!F:F,MATCH(A5,Sindicatos!A:A,0))</f>
        <v>4</v>
      </c>
      <c r="C5" s="11" t="str">
        <f aca="false">IF(ISNUMBER(SEARCH(","&amp;$A5&amp;",",","&amp;SUBSTITUTE(INDEX(Propuestas!$E$2:$E$35,1),", ",",")&amp;",")),"●","")</f>
        <v>●</v>
      </c>
      <c r="D5" s="11" t="str">
        <f aca="false">IF(ISNUMBER(SEARCH(","&amp;$A5&amp;",",","&amp;SUBSTITUTE(INDEX(Propuestas!$E$2:$E$35,2),", ",",")&amp;",")),"●","")</f>
        <v>●</v>
      </c>
      <c r="E5" s="11" t="str">
        <f aca="false">IF(ISNUMBER(SEARCH(","&amp;$A5&amp;",",","&amp;SUBSTITUTE(INDEX(Propuestas!$E$2:$E$35,3),", ",",")&amp;",")),"●","")</f>
        <v/>
      </c>
      <c r="F5" s="11" t="str">
        <f aca="false">IF(ISNUMBER(SEARCH(","&amp;$A5&amp;",",","&amp;SUBSTITUTE(INDEX(Propuestas!$E$2:$E$35,4),", ",",")&amp;",")),"●","")</f>
        <v>●</v>
      </c>
      <c r="G5" s="11" t="str">
        <f aca="false">IF(ISNUMBER(SEARCH(","&amp;$A5&amp;",",","&amp;SUBSTITUTE(INDEX(Propuestas!$E$2:$E$35,5),", ",",")&amp;",")),"●","")</f>
        <v>●</v>
      </c>
      <c r="H5" s="11" t="str">
        <f aca="false">IF(ISNUMBER(SEARCH(","&amp;$A5&amp;",",","&amp;SUBSTITUTE(INDEX(Propuestas!$E$2:$E$35,6),", ",",")&amp;",")),"●","")</f>
        <v/>
      </c>
      <c r="I5" s="11" t="str">
        <f aca="false">IF(ISNUMBER(SEARCH(","&amp;$A5&amp;",",","&amp;SUBSTITUTE(INDEX(Propuestas!$E$2:$E$35,7),", ",",")&amp;",")),"●","")</f>
        <v>●</v>
      </c>
      <c r="J5" s="11" t="str">
        <f aca="false">IF(ISNUMBER(SEARCH(","&amp;$A5&amp;",",","&amp;SUBSTITUTE(INDEX(Propuestas!$E$2:$E$35,8),", ",",")&amp;",")),"●","")</f>
        <v/>
      </c>
      <c r="K5" s="11" t="str">
        <f aca="false">IF(ISNUMBER(SEARCH(","&amp;$A5&amp;",",","&amp;SUBSTITUTE(INDEX(Propuestas!$E$2:$E$35,9),", ",",")&amp;",")),"●","")</f>
        <v/>
      </c>
      <c r="L5" s="11" t="str">
        <f aca="false">IF(ISNUMBER(SEARCH(","&amp;$A5&amp;",",","&amp;SUBSTITUTE(INDEX(Propuestas!$E$2:$E$35,10),", ",",")&amp;",")),"●","")</f>
        <v/>
      </c>
      <c r="M5" s="11" t="str">
        <f aca="false">IF(ISNUMBER(SEARCH(","&amp;$A5&amp;",",","&amp;SUBSTITUTE(INDEX(Propuestas!$E$2:$E$35,11),", ",",")&amp;",")),"●","")</f>
        <v>●</v>
      </c>
      <c r="N5" s="11" t="str">
        <f aca="false">IF(ISNUMBER(SEARCH(","&amp;$A5&amp;",",","&amp;SUBSTITUTE(INDEX(Propuestas!$E$2:$E$35,12),", ",",")&amp;",")),"●","")</f>
        <v/>
      </c>
      <c r="O5" s="11" t="str">
        <f aca="false">IF(ISNUMBER(SEARCH(","&amp;$A5&amp;",",","&amp;SUBSTITUTE(INDEX(Propuestas!$E$2:$E$35,13),", ",",")&amp;",")),"●","")</f>
        <v>●</v>
      </c>
      <c r="P5" s="11" t="str">
        <f aca="false">IF(ISNUMBER(SEARCH(","&amp;$A5&amp;",",","&amp;SUBSTITUTE(INDEX(Propuestas!$E$2:$E$35,14),", ",",")&amp;",")),"●","")</f>
        <v/>
      </c>
      <c r="Q5" s="11" t="str">
        <f aca="false">IF(ISNUMBER(SEARCH(","&amp;$A5&amp;",",","&amp;SUBSTITUTE(INDEX(Propuestas!$E$2:$E$35,15),", ",",")&amp;",")),"●","")</f>
        <v/>
      </c>
      <c r="R5" s="11" t="str">
        <f aca="false">IF(ISNUMBER(SEARCH(","&amp;$A5&amp;",",","&amp;SUBSTITUTE(INDEX(Propuestas!$E$2:$E$35,16),", ",",")&amp;",")),"●","")</f>
        <v/>
      </c>
      <c r="S5" s="11" t="str">
        <f aca="false">IF(ISNUMBER(SEARCH(","&amp;$A5&amp;",",","&amp;SUBSTITUTE(INDEX(Propuestas!$E$2:$E$35,17),", ",",")&amp;",")),"●","")</f>
        <v>●</v>
      </c>
      <c r="T5" s="11" t="str">
        <f aca="false">IF(ISNUMBER(SEARCH(","&amp;$A5&amp;",",","&amp;SUBSTITUTE(INDEX(Propuestas!$E$2:$E$35,18),", ",",")&amp;",")),"●","")</f>
        <v/>
      </c>
      <c r="U5" s="11" t="str">
        <f aca="false">IF(ISNUMBER(SEARCH(","&amp;$A5&amp;",",","&amp;SUBSTITUTE(INDEX(Propuestas!$E$2:$E$35,19),", ",",")&amp;",")),"●","")</f>
        <v>●</v>
      </c>
      <c r="V5" s="11" t="str">
        <f aca="false">IF(ISNUMBER(SEARCH(","&amp;$A5&amp;",",","&amp;SUBSTITUTE(INDEX(Propuestas!$E$2:$E$35,20),", ",",")&amp;",")),"●","")</f>
        <v>●</v>
      </c>
      <c r="W5" s="11" t="str">
        <f aca="false">IF(ISNUMBER(SEARCH(","&amp;$A5&amp;",",","&amp;SUBSTITUTE(INDEX(Propuestas!$E$2:$E$35,21),", ",",")&amp;",")),"●","")</f>
        <v/>
      </c>
      <c r="X5" s="11" t="str">
        <f aca="false">IF(ISNUMBER(SEARCH(","&amp;$A5&amp;",",","&amp;SUBSTITUTE(INDEX(Propuestas!$E$2:$E$35,22),", ",",")&amp;",")),"●","")</f>
        <v/>
      </c>
      <c r="Y5" s="11" t="str">
        <f aca="false">IF(ISNUMBER(SEARCH(","&amp;$A5&amp;",",","&amp;SUBSTITUTE(INDEX(Propuestas!$E$2:$E$35,23),", ",",")&amp;",")),"●","")</f>
        <v/>
      </c>
      <c r="Z5" s="11" t="str">
        <f aca="false">IF(ISNUMBER(SEARCH(","&amp;$A5&amp;",",","&amp;SUBSTITUTE(INDEX(Propuestas!$E$2:$E$35,24),", ",",")&amp;",")),"●","")</f>
        <v>●</v>
      </c>
      <c r="AA5" s="11" t="str">
        <f aca="false">IF(ISNUMBER(SEARCH(","&amp;$A5&amp;",",","&amp;SUBSTITUTE(INDEX(Propuestas!$E$2:$E$35,25),", ",",")&amp;",")),"●","")</f>
        <v/>
      </c>
      <c r="AB5" s="11" t="str">
        <f aca="false">IF(ISNUMBER(SEARCH(","&amp;$A5&amp;",",","&amp;SUBSTITUTE(INDEX(Propuestas!$E$2:$E$35,26),", ",",")&amp;",")),"●","")</f>
        <v/>
      </c>
      <c r="AC5" s="11" t="str">
        <f aca="false">IF(ISNUMBER(SEARCH(","&amp;$A5&amp;",",","&amp;SUBSTITUTE(INDEX(Propuestas!$E$2:$E$35,27),", ",",")&amp;",")),"●","")</f>
        <v/>
      </c>
      <c r="AD5" s="11" t="str">
        <f aca="false">IF(ISNUMBER(SEARCH(","&amp;$A5&amp;",",","&amp;SUBSTITUTE(INDEX(Propuestas!$E$2:$E$35,28),", ",",")&amp;",")),"●","")</f>
        <v/>
      </c>
      <c r="AE5" s="11" t="str">
        <f aca="false">IF(ISNUMBER(SEARCH(","&amp;$A5&amp;",",","&amp;SUBSTITUTE(INDEX(Propuestas!$E$2:$E$35,29),", ",",")&amp;",")),"●","")</f>
        <v>●</v>
      </c>
      <c r="AF5" s="11" t="str">
        <f aca="false">IF(ISNUMBER(SEARCH(","&amp;$A5&amp;",",","&amp;SUBSTITUTE(INDEX(Propuestas!$E$2:$E$35,30),", ",",")&amp;",")),"●","")</f>
        <v/>
      </c>
      <c r="AG5" s="11" t="str">
        <f aca="false">IF(ISNUMBER(SEARCH(","&amp;$A5&amp;",",","&amp;SUBSTITUTE(INDEX(Propuestas!$E$2:$E$35,31),", ",",")&amp;",")),"●","")</f>
        <v/>
      </c>
      <c r="AH5" s="11" t="str">
        <f aca="false">IF(ISNUMBER(SEARCH(","&amp;$A5&amp;",",","&amp;SUBSTITUTE(INDEX(Propuestas!$E$2:$E$35,32),", ",",")&amp;",")),"●","")</f>
        <v>●</v>
      </c>
      <c r="AI5" s="11" t="str">
        <f aca="false">IF(ISNUMBER(SEARCH(","&amp;$A5&amp;",",","&amp;SUBSTITUTE(INDEX(Propuestas!$E$2:$E$35,33),", ",",")&amp;",")),"●","")</f>
        <v/>
      </c>
      <c r="AJ5" s="11" t="str">
        <f aca="false">IF(ISNUMBER(SEARCH(","&amp;$A5&amp;",",","&amp;SUBSTITUTE(INDEX(Propuestas!$E$2:$E$35,34),", ",",")&amp;",")),"●","")</f>
        <v>●</v>
      </c>
      <c r="AK5" s="10" t="n">
        <f aca="false">COUNTIF(C5:AJ5,"●")</f>
        <v>14</v>
      </c>
    </row>
    <row r="6" customFormat="false" ht="15" hidden="false" customHeight="false" outlineLevel="0" collapsed="false">
      <c r="A6" s="10" t="s">
        <v>348</v>
      </c>
      <c r="B6" s="10" t="n">
        <f aca="false">INDEX(Sindicatos!F:F,MATCH(A6,Sindicatos!A:A,0))</f>
        <v>4</v>
      </c>
      <c r="C6" s="11" t="str">
        <f aca="false">IF(ISNUMBER(SEARCH(","&amp;$A6&amp;",",","&amp;SUBSTITUTE(INDEX(Propuestas!$E$2:$E$35,1),", ",",")&amp;",")),"●","")</f>
        <v>●</v>
      </c>
      <c r="D6" s="11" t="str">
        <f aca="false">IF(ISNUMBER(SEARCH(","&amp;$A6&amp;",",","&amp;SUBSTITUTE(INDEX(Propuestas!$E$2:$E$35,2),", ",",")&amp;",")),"●","")</f>
        <v/>
      </c>
      <c r="E6" s="11" t="str">
        <f aca="false">IF(ISNUMBER(SEARCH(","&amp;$A6&amp;",",","&amp;SUBSTITUTE(INDEX(Propuestas!$E$2:$E$35,3),", ",",")&amp;",")),"●","")</f>
        <v/>
      </c>
      <c r="F6" s="11" t="str">
        <f aca="false">IF(ISNUMBER(SEARCH(","&amp;$A6&amp;",",","&amp;SUBSTITUTE(INDEX(Propuestas!$E$2:$E$35,4),", ",",")&amp;",")),"●","")</f>
        <v/>
      </c>
      <c r="G6" s="11" t="str">
        <f aca="false">IF(ISNUMBER(SEARCH(","&amp;$A6&amp;",",","&amp;SUBSTITUTE(INDEX(Propuestas!$E$2:$E$35,5),", ",",")&amp;",")),"●","")</f>
        <v>●</v>
      </c>
      <c r="H6" s="11" t="str">
        <f aca="false">IF(ISNUMBER(SEARCH(","&amp;$A6&amp;",",","&amp;SUBSTITUTE(INDEX(Propuestas!$E$2:$E$35,6),", ",",")&amp;",")),"●","")</f>
        <v>●</v>
      </c>
      <c r="I6" s="11" t="str">
        <f aca="false">IF(ISNUMBER(SEARCH(","&amp;$A6&amp;",",","&amp;SUBSTITUTE(INDEX(Propuestas!$E$2:$E$35,7),", ",",")&amp;",")),"●","")</f>
        <v>●</v>
      </c>
      <c r="J6" s="11" t="str">
        <f aca="false">IF(ISNUMBER(SEARCH(","&amp;$A6&amp;",",","&amp;SUBSTITUTE(INDEX(Propuestas!$E$2:$E$35,8),", ",",")&amp;",")),"●","")</f>
        <v/>
      </c>
      <c r="K6" s="11" t="str">
        <f aca="false">IF(ISNUMBER(SEARCH(","&amp;$A6&amp;",",","&amp;SUBSTITUTE(INDEX(Propuestas!$E$2:$E$35,9),", ",",")&amp;",")),"●","")</f>
        <v/>
      </c>
      <c r="L6" s="11" t="str">
        <f aca="false">IF(ISNUMBER(SEARCH(","&amp;$A6&amp;",",","&amp;SUBSTITUTE(INDEX(Propuestas!$E$2:$E$35,10),", ",",")&amp;",")),"●","")</f>
        <v/>
      </c>
      <c r="M6" s="11" t="str">
        <f aca="false">IF(ISNUMBER(SEARCH(","&amp;$A6&amp;",",","&amp;SUBSTITUTE(INDEX(Propuestas!$E$2:$E$35,11),", ",",")&amp;",")),"●","")</f>
        <v/>
      </c>
      <c r="N6" s="11" t="str">
        <f aca="false">IF(ISNUMBER(SEARCH(","&amp;$A6&amp;",",","&amp;SUBSTITUTE(INDEX(Propuestas!$E$2:$E$35,12),", ",",")&amp;",")),"●","")</f>
        <v/>
      </c>
      <c r="O6" s="11" t="str">
        <f aca="false">IF(ISNUMBER(SEARCH(","&amp;$A6&amp;",",","&amp;SUBSTITUTE(INDEX(Propuestas!$E$2:$E$35,13),", ",",")&amp;",")),"●","")</f>
        <v/>
      </c>
      <c r="P6" s="11" t="str">
        <f aca="false">IF(ISNUMBER(SEARCH(","&amp;$A6&amp;",",","&amp;SUBSTITUTE(INDEX(Propuestas!$E$2:$E$35,14),", ",",")&amp;",")),"●","")</f>
        <v/>
      </c>
      <c r="Q6" s="11" t="str">
        <f aca="false">IF(ISNUMBER(SEARCH(","&amp;$A6&amp;",",","&amp;SUBSTITUTE(INDEX(Propuestas!$E$2:$E$35,15),", ",",")&amp;",")),"●","")</f>
        <v/>
      </c>
      <c r="R6" s="11" t="str">
        <f aca="false">IF(ISNUMBER(SEARCH(","&amp;$A6&amp;",",","&amp;SUBSTITUTE(INDEX(Propuestas!$E$2:$E$35,16),", ",",")&amp;",")),"●","")</f>
        <v/>
      </c>
      <c r="S6" s="11" t="str">
        <f aca="false">IF(ISNUMBER(SEARCH(","&amp;$A6&amp;",",","&amp;SUBSTITUTE(INDEX(Propuestas!$E$2:$E$35,17),", ",",")&amp;",")),"●","")</f>
        <v>●</v>
      </c>
      <c r="T6" s="11" t="str">
        <f aca="false">IF(ISNUMBER(SEARCH(","&amp;$A6&amp;",",","&amp;SUBSTITUTE(INDEX(Propuestas!$E$2:$E$35,18),", ",",")&amp;",")),"●","")</f>
        <v>●</v>
      </c>
      <c r="U6" s="11" t="str">
        <f aca="false">IF(ISNUMBER(SEARCH(","&amp;$A6&amp;",",","&amp;SUBSTITUTE(INDEX(Propuestas!$E$2:$E$35,19),", ",",")&amp;",")),"●","")</f>
        <v>●</v>
      </c>
      <c r="V6" s="11" t="str">
        <f aca="false">IF(ISNUMBER(SEARCH(","&amp;$A6&amp;",",","&amp;SUBSTITUTE(INDEX(Propuestas!$E$2:$E$35,20),", ",",")&amp;",")),"●","")</f>
        <v>●</v>
      </c>
      <c r="W6" s="11" t="str">
        <f aca="false">IF(ISNUMBER(SEARCH(","&amp;$A6&amp;",",","&amp;SUBSTITUTE(INDEX(Propuestas!$E$2:$E$35,21),", ",",")&amp;",")),"●","")</f>
        <v/>
      </c>
      <c r="X6" s="11" t="str">
        <f aca="false">IF(ISNUMBER(SEARCH(","&amp;$A6&amp;",",","&amp;SUBSTITUTE(INDEX(Propuestas!$E$2:$E$35,22),", ",",")&amp;",")),"●","")</f>
        <v>●</v>
      </c>
      <c r="Y6" s="11" t="str">
        <f aca="false">IF(ISNUMBER(SEARCH(","&amp;$A6&amp;",",","&amp;SUBSTITUTE(INDEX(Propuestas!$E$2:$E$35,23),", ",",")&amp;",")),"●","")</f>
        <v/>
      </c>
      <c r="Z6" s="11" t="str">
        <f aca="false">IF(ISNUMBER(SEARCH(","&amp;$A6&amp;",",","&amp;SUBSTITUTE(INDEX(Propuestas!$E$2:$E$35,24),", ",",")&amp;",")),"●","")</f>
        <v>●</v>
      </c>
      <c r="AA6" s="11" t="str">
        <f aca="false">IF(ISNUMBER(SEARCH(","&amp;$A6&amp;",",","&amp;SUBSTITUTE(INDEX(Propuestas!$E$2:$E$35,25),", ",",")&amp;",")),"●","")</f>
        <v/>
      </c>
      <c r="AB6" s="11" t="str">
        <f aca="false">IF(ISNUMBER(SEARCH(","&amp;$A6&amp;",",","&amp;SUBSTITUTE(INDEX(Propuestas!$E$2:$E$35,26),", ",",")&amp;",")),"●","")</f>
        <v/>
      </c>
      <c r="AC6" s="11" t="str">
        <f aca="false">IF(ISNUMBER(SEARCH(","&amp;$A6&amp;",",","&amp;SUBSTITUTE(INDEX(Propuestas!$E$2:$E$35,27),", ",",")&amp;",")),"●","")</f>
        <v>●</v>
      </c>
      <c r="AD6" s="11" t="str">
        <f aca="false">IF(ISNUMBER(SEARCH(","&amp;$A6&amp;",",","&amp;SUBSTITUTE(INDEX(Propuestas!$E$2:$E$35,28),", ",",")&amp;",")),"●","")</f>
        <v/>
      </c>
      <c r="AE6" s="11" t="str">
        <f aca="false">IF(ISNUMBER(SEARCH(","&amp;$A6&amp;",",","&amp;SUBSTITUTE(INDEX(Propuestas!$E$2:$E$35,29),", ",",")&amp;",")),"●","")</f>
        <v/>
      </c>
      <c r="AF6" s="11" t="str">
        <f aca="false">IF(ISNUMBER(SEARCH(","&amp;$A6&amp;",",","&amp;SUBSTITUTE(INDEX(Propuestas!$E$2:$E$35,30),", ",",")&amp;",")),"●","")</f>
        <v/>
      </c>
      <c r="AG6" s="11" t="str">
        <f aca="false">IF(ISNUMBER(SEARCH(","&amp;$A6&amp;",",","&amp;SUBSTITUTE(INDEX(Propuestas!$E$2:$E$35,31),", ",",")&amp;",")),"●","")</f>
        <v/>
      </c>
      <c r="AH6" s="11" t="str">
        <f aca="false">IF(ISNUMBER(SEARCH(","&amp;$A6&amp;",",","&amp;SUBSTITUTE(INDEX(Propuestas!$E$2:$E$35,32),", ",",")&amp;",")),"●","")</f>
        <v/>
      </c>
      <c r="AI6" s="11" t="str">
        <f aca="false">IF(ISNUMBER(SEARCH(","&amp;$A6&amp;",",","&amp;SUBSTITUTE(INDEX(Propuestas!$E$2:$E$35,33),", ",",")&amp;",")),"●","")</f>
        <v/>
      </c>
      <c r="AJ6" s="11" t="str">
        <f aca="false">IF(ISNUMBER(SEARCH(","&amp;$A6&amp;",",","&amp;SUBSTITUTE(INDEX(Propuestas!$E$2:$E$35,34),", ",",")&amp;",")),"●","")</f>
        <v>●</v>
      </c>
      <c r="AK6" s="10" t="n">
        <f aca="false">COUNTIF(C6:AJ6,"●")</f>
        <v>12</v>
      </c>
    </row>
    <row r="7" customFormat="false" ht="15" hidden="false" customHeight="false" outlineLevel="0" collapsed="false">
      <c r="A7" s="10" t="s">
        <v>357</v>
      </c>
      <c r="B7" s="10" t="n">
        <f aca="false">INDEX(Sindicatos!F:F,MATCH(A7,Sindicatos!A:A,0))</f>
        <v>4</v>
      </c>
      <c r="C7" s="11" t="str">
        <f aca="false">IF(ISNUMBER(SEARCH(","&amp;$A7&amp;",",","&amp;SUBSTITUTE(INDEX(Propuestas!$E$2:$E$35,1),", ",",")&amp;",")),"●","")</f>
        <v>●</v>
      </c>
      <c r="D7" s="11" t="str">
        <f aca="false">IF(ISNUMBER(SEARCH(","&amp;$A7&amp;",",","&amp;SUBSTITUTE(INDEX(Propuestas!$E$2:$E$35,2),", ",",")&amp;",")),"●","")</f>
        <v>●</v>
      </c>
      <c r="E7" s="11" t="str">
        <f aca="false">IF(ISNUMBER(SEARCH(","&amp;$A7&amp;",",","&amp;SUBSTITUTE(INDEX(Propuestas!$E$2:$E$35,3),", ",",")&amp;",")),"●","")</f>
        <v>●</v>
      </c>
      <c r="F7" s="11" t="str">
        <f aca="false">IF(ISNUMBER(SEARCH(","&amp;$A7&amp;",",","&amp;SUBSTITUTE(INDEX(Propuestas!$E$2:$E$35,4),", ",",")&amp;",")),"●","")</f>
        <v>●</v>
      </c>
      <c r="G7" s="11" t="str">
        <f aca="false">IF(ISNUMBER(SEARCH(","&amp;$A7&amp;",",","&amp;SUBSTITUTE(INDEX(Propuestas!$E$2:$E$35,5),", ",",")&amp;",")),"●","")</f>
        <v/>
      </c>
      <c r="H7" s="11" t="str">
        <f aca="false">IF(ISNUMBER(SEARCH(","&amp;$A7&amp;",",","&amp;SUBSTITUTE(INDEX(Propuestas!$E$2:$E$35,6),", ",",")&amp;",")),"●","")</f>
        <v>●</v>
      </c>
      <c r="I7" s="11" t="str">
        <f aca="false">IF(ISNUMBER(SEARCH(","&amp;$A7&amp;",",","&amp;SUBSTITUTE(INDEX(Propuestas!$E$2:$E$35,7),", ",",")&amp;",")),"●","")</f>
        <v/>
      </c>
      <c r="J7" s="11" t="str">
        <f aca="false">IF(ISNUMBER(SEARCH(","&amp;$A7&amp;",",","&amp;SUBSTITUTE(INDEX(Propuestas!$E$2:$E$35,8),", ",",")&amp;",")),"●","")</f>
        <v>●</v>
      </c>
      <c r="K7" s="11" t="str">
        <f aca="false">IF(ISNUMBER(SEARCH(","&amp;$A7&amp;",",","&amp;SUBSTITUTE(INDEX(Propuestas!$E$2:$E$35,9),", ",",")&amp;",")),"●","")</f>
        <v>●</v>
      </c>
      <c r="L7" s="11" t="str">
        <f aca="false">IF(ISNUMBER(SEARCH(","&amp;$A7&amp;",",","&amp;SUBSTITUTE(INDEX(Propuestas!$E$2:$E$35,10),", ",",")&amp;",")),"●","")</f>
        <v/>
      </c>
      <c r="M7" s="11" t="str">
        <f aca="false">IF(ISNUMBER(SEARCH(","&amp;$A7&amp;",",","&amp;SUBSTITUTE(INDEX(Propuestas!$E$2:$E$35,11),", ",",")&amp;",")),"●","")</f>
        <v>●</v>
      </c>
      <c r="N7" s="11" t="str">
        <f aca="false">IF(ISNUMBER(SEARCH(","&amp;$A7&amp;",",","&amp;SUBSTITUTE(INDEX(Propuestas!$E$2:$E$35,12),", ",",")&amp;",")),"●","")</f>
        <v/>
      </c>
      <c r="O7" s="11" t="str">
        <f aca="false">IF(ISNUMBER(SEARCH(","&amp;$A7&amp;",",","&amp;SUBSTITUTE(INDEX(Propuestas!$E$2:$E$35,13),", ",",")&amp;",")),"●","")</f>
        <v>●</v>
      </c>
      <c r="P7" s="11" t="str">
        <f aca="false">IF(ISNUMBER(SEARCH(","&amp;$A7&amp;",",","&amp;SUBSTITUTE(INDEX(Propuestas!$E$2:$E$35,14),", ",",")&amp;",")),"●","")</f>
        <v/>
      </c>
      <c r="Q7" s="11" t="str">
        <f aca="false">IF(ISNUMBER(SEARCH(","&amp;$A7&amp;",",","&amp;SUBSTITUTE(INDEX(Propuestas!$E$2:$E$35,15),", ",",")&amp;",")),"●","")</f>
        <v/>
      </c>
      <c r="R7" s="11" t="str">
        <f aca="false">IF(ISNUMBER(SEARCH(","&amp;$A7&amp;",",","&amp;SUBSTITUTE(INDEX(Propuestas!$E$2:$E$35,16),", ",",")&amp;",")),"●","")</f>
        <v>●</v>
      </c>
      <c r="S7" s="11" t="str">
        <f aca="false">IF(ISNUMBER(SEARCH(","&amp;$A7&amp;",",","&amp;SUBSTITUTE(INDEX(Propuestas!$E$2:$E$35,17),", ",",")&amp;",")),"●","")</f>
        <v/>
      </c>
      <c r="T7" s="11" t="str">
        <f aca="false">IF(ISNUMBER(SEARCH(","&amp;$A7&amp;",",","&amp;SUBSTITUTE(INDEX(Propuestas!$E$2:$E$35,18),", ",",")&amp;",")),"●","")</f>
        <v/>
      </c>
      <c r="U7" s="11" t="str">
        <f aca="false">IF(ISNUMBER(SEARCH(","&amp;$A7&amp;",",","&amp;SUBSTITUTE(INDEX(Propuestas!$E$2:$E$35,19),", ",",")&amp;",")),"●","")</f>
        <v/>
      </c>
      <c r="V7" s="11" t="str">
        <f aca="false">IF(ISNUMBER(SEARCH(","&amp;$A7&amp;",",","&amp;SUBSTITUTE(INDEX(Propuestas!$E$2:$E$35,20),", ",",")&amp;",")),"●","")</f>
        <v>●</v>
      </c>
      <c r="W7" s="11" t="str">
        <f aca="false">IF(ISNUMBER(SEARCH(","&amp;$A7&amp;",",","&amp;SUBSTITUTE(INDEX(Propuestas!$E$2:$E$35,21),", ",",")&amp;",")),"●","")</f>
        <v/>
      </c>
      <c r="X7" s="11" t="str">
        <f aca="false">IF(ISNUMBER(SEARCH(","&amp;$A7&amp;",",","&amp;SUBSTITUTE(INDEX(Propuestas!$E$2:$E$35,22),", ",",")&amp;",")),"●","")</f>
        <v/>
      </c>
      <c r="Y7" s="11" t="str">
        <f aca="false">IF(ISNUMBER(SEARCH(","&amp;$A7&amp;",",","&amp;SUBSTITUTE(INDEX(Propuestas!$E$2:$E$35,23),", ",",")&amp;",")),"●","")</f>
        <v/>
      </c>
      <c r="Z7" s="11" t="str">
        <f aca="false">IF(ISNUMBER(SEARCH(","&amp;$A7&amp;",",","&amp;SUBSTITUTE(INDEX(Propuestas!$E$2:$E$35,24),", ",",")&amp;",")),"●","")</f>
        <v/>
      </c>
      <c r="AA7" s="11" t="str">
        <f aca="false">IF(ISNUMBER(SEARCH(","&amp;$A7&amp;",",","&amp;SUBSTITUTE(INDEX(Propuestas!$E$2:$E$35,25),", ",",")&amp;",")),"●","")</f>
        <v/>
      </c>
      <c r="AB7" s="11" t="str">
        <f aca="false">IF(ISNUMBER(SEARCH(","&amp;$A7&amp;",",","&amp;SUBSTITUTE(INDEX(Propuestas!$E$2:$E$35,26),", ",",")&amp;",")),"●","")</f>
        <v>●</v>
      </c>
      <c r="AC7" s="11" t="str">
        <f aca="false">IF(ISNUMBER(SEARCH(","&amp;$A7&amp;",",","&amp;SUBSTITUTE(INDEX(Propuestas!$E$2:$E$35,27),", ",",")&amp;",")),"●","")</f>
        <v/>
      </c>
      <c r="AD7" s="11" t="str">
        <f aca="false">IF(ISNUMBER(SEARCH(","&amp;$A7&amp;",",","&amp;SUBSTITUTE(INDEX(Propuestas!$E$2:$E$35,28),", ",",")&amp;",")),"●","")</f>
        <v/>
      </c>
      <c r="AE7" s="11" t="str">
        <f aca="false">IF(ISNUMBER(SEARCH(","&amp;$A7&amp;",",","&amp;SUBSTITUTE(INDEX(Propuestas!$E$2:$E$35,29),", ",",")&amp;",")),"●","")</f>
        <v/>
      </c>
      <c r="AF7" s="11" t="str">
        <f aca="false">IF(ISNUMBER(SEARCH(","&amp;$A7&amp;",",","&amp;SUBSTITUTE(INDEX(Propuestas!$E$2:$E$35,30),", ",",")&amp;",")),"●","")</f>
        <v>●</v>
      </c>
      <c r="AG7" s="11" t="str">
        <f aca="false">IF(ISNUMBER(SEARCH(","&amp;$A7&amp;",",","&amp;SUBSTITUTE(INDEX(Propuestas!$E$2:$E$35,31),", ",",")&amp;",")),"●","")</f>
        <v/>
      </c>
      <c r="AH7" s="11" t="str">
        <f aca="false">IF(ISNUMBER(SEARCH(","&amp;$A7&amp;",",","&amp;SUBSTITUTE(INDEX(Propuestas!$E$2:$E$35,32),", ",",")&amp;",")),"●","")</f>
        <v/>
      </c>
      <c r="AI7" s="11" t="str">
        <f aca="false">IF(ISNUMBER(SEARCH(","&amp;$A7&amp;",",","&amp;SUBSTITUTE(INDEX(Propuestas!$E$2:$E$35,33),", ",",")&amp;",")),"●","")</f>
        <v/>
      </c>
      <c r="AJ7" s="11" t="str">
        <f aca="false">IF(ISNUMBER(SEARCH(","&amp;$A7&amp;",",","&amp;SUBSTITUTE(INDEX(Propuestas!$E$2:$E$35,34),", ",",")&amp;",")),"●","")</f>
        <v>●</v>
      </c>
      <c r="AK7" s="10" t="n">
        <f aca="false">COUNTIF(C7:AJ7,"●")</f>
        <v>14</v>
      </c>
    </row>
    <row r="8" customFormat="false" ht="15" hidden="false" customHeight="false" outlineLevel="0" collapsed="false">
      <c r="A8" s="10" t="s">
        <v>366</v>
      </c>
      <c r="B8" s="10" t="n">
        <f aca="false">INDEX(Sindicatos!F:F,MATCH(A8,Sindicatos!A:A,0))</f>
        <v>4</v>
      </c>
      <c r="C8" s="11" t="str">
        <f aca="false">IF(ISNUMBER(SEARCH(","&amp;$A8&amp;",",","&amp;SUBSTITUTE(INDEX(Propuestas!$E$2:$E$35,1),", ",",")&amp;",")),"●","")</f>
        <v/>
      </c>
      <c r="D8" s="11" t="str">
        <f aca="false">IF(ISNUMBER(SEARCH(","&amp;$A8&amp;",",","&amp;SUBSTITUTE(INDEX(Propuestas!$E$2:$E$35,2),", ",",")&amp;",")),"●","")</f>
        <v/>
      </c>
      <c r="E8" s="11" t="str">
        <f aca="false">IF(ISNUMBER(SEARCH(","&amp;$A8&amp;",",","&amp;SUBSTITUTE(INDEX(Propuestas!$E$2:$E$35,3),", ",",")&amp;",")),"●","")</f>
        <v/>
      </c>
      <c r="F8" s="11" t="str">
        <f aca="false">IF(ISNUMBER(SEARCH(","&amp;$A8&amp;",",","&amp;SUBSTITUTE(INDEX(Propuestas!$E$2:$E$35,4),", ",",")&amp;",")),"●","")</f>
        <v>●</v>
      </c>
      <c r="G8" s="11" t="str">
        <f aca="false">IF(ISNUMBER(SEARCH(","&amp;$A8&amp;",",","&amp;SUBSTITUTE(INDEX(Propuestas!$E$2:$E$35,5),", ",",")&amp;",")),"●","")</f>
        <v>●</v>
      </c>
      <c r="H8" s="11" t="str">
        <f aca="false">IF(ISNUMBER(SEARCH(","&amp;$A8&amp;",",","&amp;SUBSTITUTE(INDEX(Propuestas!$E$2:$E$35,6),", ",",")&amp;",")),"●","")</f>
        <v/>
      </c>
      <c r="I8" s="11" t="str">
        <f aca="false">IF(ISNUMBER(SEARCH(","&amp;$A8&amp;",",","&amp;SUBSTITUTE(INDEX(Propuestas!$E$2:$E$35,7),", ",",")&amp;",")),"●","")</f>
        <v/>
      </c>
      <c r="J8" s="11" t="str">
        <f aca="false">IF(ISNUMBER(SEARCH(","&amp;$A8&amp;",",","&amp;SUBSTITUTE(INDEX(Propuestas!$E$2:$E$35,8),", ",",")&amp;",")),"●","")</f>
        <v>●</v>
      </c>
      <c r="K8" s="11" t="str">
        <f aca="false">IF(ISNUMBER(SEARCH(","&amp;$A8&amp;",",","&amp;SUBSTITUTE(INDEX(Propuestas!$E$2:$E$35,9),", ",",")&amp;",")),"●","")</f>
        <v/>
      </c>
      <c r="L8" s="11" t="str">
        <f aca="false">IF(ISNUMBER(SEARCH(","&amp;$A8&amp;",",","&amp;SUBSTITUTE(INDEX(Propuestas!$E$2:$E$35,10),", ",",")&amp;",")),"●","")</f>
        <v/>
      </c>
      <c r="M8" s="11" t="str">
        <f aca="false">IF(ISNUMBER(SEARCH(","&amp;$A8&amp;",",","&amp;SUBSTITUTE(INDEX(Propuestas!$E$2:$E$35,11),", ",",")&amp;",")),"●","")</f>
        <v/>
      </c>
      <c r="N8" s="11" t="str">
        <f aca="false">IF(ISNUMBER(SEARCH(","&amp;$A8&amp;",",","&amp;SUBSTITUTE(INDEX(Propuestas!$E$2:$E$35,12),", ",",")&amp;",")),"●","")</f>
        <v/>
      </c>
      <c r="O8" s="11" t="str">
        <f aca="false">IF(ISNUMBER(SEARCH(","&amp;$A8&amp;",",","&amp;SUBSTITUTE(INDEX(Propuestas!$E$2:$E$35,13),", ",",")&amp;",")),"●","")</f>
        <v/>
      </c>
      <c r="P8" s="11" t="str">
        <f aca="false">IF(ISNUMBER(SEARCH(","&amp;$A8&amp;",",","&amp;SUBSTITUTE(INDEX(Propuestas!$E$2:$E$35,14),", ",",")&amp;",")),"●","")</f>
        <v>●</v>
      </c>
      <c r="Q8" s="11" t="str">
        <f aca="false">IF(ISNUMBER(SEARCH(","&amp;$A8&amp;",",","&amp;SUBSTITUTE(INDEX(Propuestas!$E$2:$E$35,15),", ",",")&amp;",")),"●","")</f>
        <v/>
      </c>
      <c r="R8" s="11" t="str">
        <f aca="false">IF(ISNUMBER(SEARCH(","&amp;$A8&amp;",",","&amp;SUBSTITUTE(INDEX(Propuestas!$E$2:$E$35,16),", ",",")&amp;",")),"●","")</f>
        <v>●</v>
      </c>
      <c r="S8" s="11" t="str">
        <f aca="false">IF(ISNUMBER(SEARCH(","&amp;$A8&amp;",",","&amp;SUBSTITUTE(INDEX(Propuestas!$E$2:$E$35,17),", ",",")&amp;",")),"●","")</f>
        <v/>
      </c>
      <c r="T8" s="11" t="str">
        <f aca="false">IF(ISNUMBER(SEARCH(","&amp;$A8&amp;",",","&amp;SUBSTITUTE(INDEX(Propuestas!$E$2:$E$35,18),", ",",")&amp;",")),"●","")</f>
        <v/>
      </c>
      <c r="U8" s="11" t="str">
        <f aca="false">IF(ISNUMBER(SEARCH(","&amp;$A8&amp;",",","&amp;SUBSTITUTE(INDEX(Propuestas!$E$2:$E$35,19),", ",",")&amp;",")),"●","")</f>
        <v>●</v>
      </c>
      <c r="V8" s="11" t="str">
        <f aca="false">IF(ISNUMBER(SEARCH(","&amp;$A8&amp;",",","&amp;SUBSTITUTE(INDEX(Propuestas!$E$2:$E$35,20),", ",",")&amp;",")),"●","")</f>
        <v>●</v>
      </c>
      <c r="W8" s="11" t="str">
        <f aca="false">IF(ISNUMBER(SEARCH(","&amp;$A8&amp;",",","&amp;SUBSTITUTE(INDEX(Propuestas!$E$2:$E$35,21),", ",",")&amp;",")),"●","")</f>
        <v>●</v>
      </c>
      <c r="X8" s="11" t="str">
        <f aca="false">IF(ISNUMBER(SEARCH(","&amp;$A8&amp;",",","&amp;SUBSTITUTE(INDEX(Propuestas!$E$2:$E$35,22),", ",",")&amp;",")),"●","")</f>
        <v/>
      </c>
      <c r="Y8" s="11" t="str">
        <f aca="false">IF(ISNUMBER(SEARCH(","&amp;$A8&amp;",",","&amp;SUBSTITUTE(INDEX(Propuestas!$E$2:$E$35,23),", ",",")&amp;",")),"●","")</f>
        <v/>
      </c>
      <c r="Z8" s="11" t="str">
        <f aca="false">IF(ISNUMBER(SEARCH(","&amp;$A8&amp;",",","&amp;SUBSTITUTE(INDEX(Propuestas!$E$2:$E$35,24),", ",",")&amp;",")),"●","")</f>
        <v/>
      </c>
      <c r="AA8" s="11" t="str">
        <f aca="false">IF(ISNUMBER(SEARCH(","&amp;$A8&amp;",",","&amp;SUBSTITUTE(INDEX(Propuestas!$E$2:$E$35,25),", ",",")&amp;",")),"●","")</f>
        <v/>
      </c>
      <c r="AB8" s="11" t="str">
        <f aca="false">IF(ISNUMBER(SEARCH(","&amp;$A8&amp;",",","&amp;SUBSTITUTE(INDEX(Propuestas!$E$2:$E$35,26),", ",",")&amp;",")),"●","")</f>
        <v/>
      </c>
      <c r="AC8" s="11" t="str">
        <f aca="false">IF(ISNUMBER(SEARCH(","&amp;$A8&amp;",",","&amp;SUBSTITUTE(INDEX(Propuestas!$E$2:$E$35,27),", ",",")&amp;",")),"●","")</f>
        <v/>
      </c>
      <c r="AD8" s="11" t="str">
        <f aca="false">IF(ISNUMBER(SEARCH(","&amp;$A8&amp;",",","&amp;SUBSTITUTE(INDEX(Propuestas!$E$2:$E$35,28),", ",",")&amp;",")),"●","")</f>
        <v/>
      </c>
      <c r="AE8" s="11" t="str">
        <f aca="false">IF(ISNUMBER(SEARCH(","&amp;$A8&amp;",",","&amp;SUBSTITUTE(INDEX(Propuestas!$E$2:$E$35,29),", ",",")&amp;",")),"●","")</f>
        <v/>
      </c>
      <c r="AF8" s="11" t="str">
        <f aca="false">IF(ISNUMBER(SEARCH(","&amp;$A8&amp;",",","&amp;SUBSTITUTE(INDEX(Propuestas!$E$2:$E$35,30),", ",",")&amp;",")),"●","")</f>
        <v/>
      </c>
      <c r="AG8" s="11" t="str">
        <f aca="false">IF(ISNUMBER(SEARCH(","&amp;$A8&amp;",",","&amp;SUBSTITUTE(INDEX(Propuestas!$E$2:$E$35,31),", ",",")&amp;",")),"●","")</f>
        <v>●</v>
      </c>
      <c r="AH8" s="11" t="str">
        <f aca="false">IF(ISNUMBER(SEARCH(","&amp;$A8&amp;",",","&amp;SUBSTITUTE(INDEX(Propuestas!$E$2:$E$35,32),", ",",")&amp;",")),"●","")</f>
        <v/>
      </c>
      <c r="AI8" s="11" t="str">
        <f aca="false">IF(ISNUMBER(SEARCH(","&amp;$A8&amp;",",","&amp;SUBSTITUTE(INDEX(Propuestas!$E$2:$E$35,33),", ",",")&amp;",")),"●","")</f>
        <v/>
      </c>
      <c r="AJ8" s="11" t="str">
        <f aca="false">IF(ISNUMBER(SEARCH(","&amp;$A8&amp;",",","&amp;SUBSTITUTE(INDEX(Propuestas!$E$2:$E$35,34),", ",",")&amp;",")),"●","")</f>
        <v/>
      </c>
      <c r="AK8" s="10" t="n">
        <f aca="false">COUNTIF(C8:AJ8,"●")</f>
        <v>9</v>
      </c>
    </row>
    <row r="9" customFormat="false" ht="15" hidden="false" customHeight="false" outlineLevel="0" collapsed="false">
      <c r="A9" s="10" t="s">
        <v>375</v>
      </c>
      <c r="B9" s="10" t="n">
        <f aca="false">INDEX(Sindicatos!F:F,MATCH(A9,Sindicatos!A:A,0))</f>
        <v>4</v>
      </c>
      <c r="C9" s="11" t="str">
        <f aca="false">IF(ISNUMBER(SEARCH(","&amp;$A9&amp;",",","&amp;SUBSTITUTE(INDEX(Propuestas!$E$2:$E$35,1),", ",",")&amp;",")),"●","")</f>
        <v/>
      </c>
      <c r="D9" s="11" t="str">
        <f aca="false">IF(ISNUMBER(SEARCH(","&amp;$A9&amp;",",","&amp;SUBSTITUTE(INDEX(Propuestas!$E$2:$E$35,2),", ",",")&amp;",")),"●","")</f>
        <v/>
      </c>
      <c r="E9" s="11" t="str">
        <f aca="false">IF(ISNUMBER(SEARCH(","&amp;$A9&amp;",",","&amp;SUBSTITUTE(INDEX(Propuestas!$E$2:$E$35,3),", ",",")&amp;",")),"●","")</f>
        <v/>
      </c>
      <c r="F9" s="11" t="str">
        <f aca="false">IF(ISNUMBER(SEARCH(","&amp;$A9&amp;",",","&amp;SUBSTITUTE(INDEX(Propuestas!$E$2:$E$35,4),", ",",")&amp;",")),"●","")</f>
        <v/>
      </c>
      <c r="G9" s="11" t="str">
        <f aca="false">IF(ISNUMBER(SEARCH(","&amp;$A9&amp;",",","&amp;SUBSTITUTE(INDEX(Propuestas!$E$2:$E$35,5),", ",",")&amp;",")),"●","")</f>
        <v>●</v>
      </c>
      <c r="H9" s="11" t="str">
        <f aca="false">IF(ISNUMBER(SEARCH(","&amp;$A9&amp;",",","&amp;SUBSTITUTE(INDEX(Propuestas!$E$2:$E$35,6),", ",",")&amp;",")),"●","")</f>
        <v/>
      </c>
      <c r="I9" s="11" t="str">
        <f aca="false">IF(ISNUMBER(SEARCH(","&amp;$A9&amp;",",","&amp;SUBSTITUTE(INDEX(Propuestas!$E$2:$E$35,7),", ",",")&amp;",")),"●","")</f>
        <v/>
      </c>
      <c r="J9" s="11" t="str">
        <f aca="false">IF(ISNUMBER(SEARCH(","&amp;$A9&amp;",",","&amp;SUBSTITUTE(INDEX(Propuestas!$E$2:$E$35,8),", ",",")&amp;",")),"●","")</f>
        <v>●</v>
      </c>
      <c r="K9" s="11" t="str">
        <f aca="false">IF(ISNUMBER(SEARCH(","&amp;$A9&amp;",",","&amp;SUBSTITUTE(INDEX(Propuestas!$E$2:$E$35,9),", ",",")&amp;",")),"●","")</f>
        <v/>
      </c>
      <c r="L9" s="11" t="str">
        <f aca="false">IF(ISNUMBER(SEARCH(","&amp;$A9&amp;",",","&amp;SUBSTITUTE(INDEX(Propuestas!$E$2:$E$35,10),", ",",")&amp;",")),"●","")</f>
        <v/>
      </c>
      <c r="M9" s="11" t="str">
        <f aca="false">IF(ISNUMBER(SEARCH(","&amp;$A9&amp;",",","&amp;SUBSTITUTE(INDEX(Propuestas!$E$2:$E$35,11),", ",",")&amp;",")),"●","")</f>
        <v>●</v>
      </c>
      <c r="N9" s="11" t="str">
        <f aca="false">IF(ISNUMBER(SEARCH(","&amp;$A9&amp;",",","&amp;SUBSTITUTE(INDEX(Propuestas!$E$2:$E$35,12),", ",",")&amp;",")),"●","")</f>
        <v>●</v>
      </c>
      <c r="O9" s="11" t="str">
        <f aca="false">IF(ISNUMBER(SEARCH(","&amp;$A9&amp;",",","&amp;SUBSTITUTE(INDEX(Propuestas!$E$2:$E$35,13),", ",",")&amp;",")),"●","")</f>
        <v/>
      </c>
      <c r="P9" s="11" t="str">
        <f aca="false">IF(ISNUMBER(SEARCH(","&amp;$A9&amp;",",","&amp;SUBSTITUTE(INDEX(Propuestas!$E$2:$E$35,14),", ",",")&amp;",")),"●","")</f>
        <v/>
      </c>
      <c r="Q9" s="11" t="str">
        <f aca="false">IF(ISNUMBER(SEARCH(","&amp;$A9&amp;",",","&amp;SUBSTITUTE(INDEX(Propuestas!$E$2:$E$35,15),", ",",")&amp;",")),"●","")</f>
        <v>●</v>
      </c>
      <c r="R9" s="11" t="str">
        <f aca="false">IF(ISNUMBER(SEARCH(","&amp;$A9&amp;",",","&amp;SUBSTITUTE(INDEX(Propuestas!$E$2:$E$35,16),", ",",")&amp;",")),"●","")</f>
        <v/>
      </c>
      <c r="S9" s="11" t="str">
        <f aca="false">IF(ISNUMBER(SEARCH(","&amp;$A9&amp;",",","&amp;SUBSTITUTE(INDEX(Propuestas!$E$2:$E$35,17),", ",",")&amp;",")),"●","")</f>
        <v>●</v>
      </c>
      <c r="T9" s="11" t="str">
        <f aca="false">IF(ISNUMBER(SEARCH(","&amp;$A9&amp;",",","&amp;SUBSTITUTE(INDEX(Propuestas!$E$2:$E$35,18),", ",",")&amp;",")),"●","")</f>
        <v>●</v>
      </c>
      <c r="U9" s="11" t="str">
        <f aca="false">IF(ISNUMBER(SEARCH(","&amp;$A9&amp;",",","&amp;SUBSTITUTE(INDEX(Propuestas!$E$2:$E$35,19),", ",",")&amp;",")),"●","")</f>
        <v/>
      </c>
      <c r="V9" s="11" t="str">
        <f aca="false">IF(ISNUMBER(SEARCH(","&amp;$A9&amp;",",","&amp;SUBSTITUTE(INDEX(Propuestas!$E$2:$E$35,20),", ",",")&amp;",")),"●","")</f>
        <v>●</v>
      </c>
      <c r="W9" s="11" t="str">
        <f aca="false">IF(ISNUMBER(SEARCH(","&amp;$A9&amp;",",","&amp;SUBSTITUTE(INDEX(Propuestas!$E$2:$E$35,21),", ",",")&amp;",")),"●","")</f>
        <v>●</v>
      </c>
      <c r="X9" s="11" t="str">
        <f aca="false">IF(ISNUMBER(SEARCH(","&amp;$A9&amp;",",","&amp;SUBSTITUTE(INDEX(Propuestas!$E$2:$E$35,22),", ",",")&amp;",")),"●","")</f>
        <v/>
      </c>
      <c r="Y9" s="11" t="str">
        <f aca="false">IF(ISNUMBER(SEARCH(","&amp;$A9&amp;",",","&amp;SUBSTITUTE(INDEX(Propuestas!$E$2:$E$35,23),", ",",")&amp;",")),"●","")</f>
        <v/>
      </c>
      <c r="Z9" s="11" t="str">
        <f aca="false">IF(ISNUMBER(SEARCH(","&amp;$A9&amp;",",","&amp;SUBSTITUTE(INDEX(Propuestas!$E$2:$E$35,24),", ",",")&amp;",")),"●","")</f>
        <v/>
      </c>
      <c r="AA9" s="11" t="str">
        <f aca="false">IF(ISNUMBER(SEARCH(","&amp;$A9&amp;",",","&amp;SUBSTITUTE(INDEX(Propuestas!$E$2:$E$35,25),", ",",")&amp;",")),"●","")</f>
        <v/>
      </c>
      <c r="AB9" s="11" t="str">
        <f aca="false">IF(ISNUMBER(SEARCH(","&amp;$A9&amp;",",","&amp;SUBSTITUTE(INDEX(Propuestas!$E$2:$E$35,26),", ",",")&amp;",")),"●","")</f>
        <v/>
      </c>
      <c r="AC9" s="11" t="str">
        <f aca="false">IF(ISNUMBER(SEARCH(","&amp;$A9&amp;",",","&amp;SUBSTITUTE(INDEX(Propuestas!$E$2:$E$35,27),", ",",")&amp;",")),"●","")</f>
        <v>●</v>
      </c>
      <c r="AD9" s="11" t="str">
        <f aca="false">IF(ISNUMBER(SEARCH(","&amp;$A9&amp;",",","&amp;SUBSTITUTE(INDEX(Propuestas!$E$2:$E$35,28),", ",",")&amp;",")),"●","")</f>
        <v/>
      </c>
      <c r="AE9" s="11" t="str">
        <f aca="false">IF(ISNUMBER(SEARCH(","&amp;$A9&amp;",",","&amp;SUBSTITUTE(INDEX(Propuestas!$E$2:$E$35,29),", ",",")&amp;",")),"●","")</f>
        <v/>
      </c>
      <c r="AF9" s="11" t="str">
        <f aca="false">IF(ISNUMBER(SEARCH(","&amp;$A9&amp;",",","&amp;SUBSTITUTE(INDEX(Propuestas!$E$2:$E$35,30),", ",",")&amp;",")),"●","")</f>
        <v/>
      </c>
      <c r="AG9" s="11" t="str">
        <f aca="false">IF(ISNUMBER(SEARCH(","&amp;$A9&amp;",",","&amp;SUBSTITUTE(INDEX(Propuestas!$E$2:$E$35,31),", ",",")&amp;",")),"●","")</f>
        <v/>
      </c>
      <c r="AH9" s="11" t="str">
        <f aca="false">IF(ISNUMBER(SEARCH(","&amp;$A9&amp;",",","&amp;SUBSTITUTE(INDEX(Propuestas!$E$2:$E$35,32),", ",",")&amp;",")),"●","")</f>
        <v/>
      </c>
      <c r="AI9" s="11" t="str">
        <f aca="false">IF(ISNUMBER(SEARCH(","&amp;$A9&amp;",",","&amp;SUBSTITUTE(INDEX(Propuestas!$E$2:$E$35,33),", ",",")&amp;",")),"●","")</f>
        <v/>
      </c>
      <c r="AJ9" s="11" t="str">
        <f aca="false">IF(ISNUMBER(SEARCH(","&amp;$A9&amp;",",","&amp;SUBSTITUTE(INDEX(Propuestas!$E$2:$E$35,34),", ",",")&amp;",")),"●","")</f>
        <v/>
      </c>
      <c r="AK9" s="10" t="n">
        <f aca="false">COUNTIF(C9:AJ9,"●")</f>
        <v>10</v>
      </c>
    </row>
    <row r="10" customFormat="false" ht="15" hidden="false" customHeight="false" outlineLevel="0" collapsed="false">
      <c r="A10" s="10" t="s">
        <v>384</v>
      </c>
      <c r="B10" s="10" t="n">
        <f aca="false">INDEX(Sindicatos!F:F,MATCH(A10,Sindicatos!A:A,0))</f>
        <v>4</v>
      </c>
      <c r="C10" s="11" t="str">
        <f aca="false">IF(ISNUMBER(SEARCH(","&amp;$A10&amp;",",","&amp;SUBSTITUTE(INDEX(Propuestas!$E$2:$E$35,1),", ",",")&amp;",")),"●","")</f>
        <v/>
      </c>
      <c r="D10" s="11" t="str">
        <f aca="false">IF(ISNUMBER(SEARCH(","&amp;$A10&amp;",",","&amp;SUBSTITUTE(INDEX(Propuestas!$E$2:$E$35,2),", ",",")&amp;",")),"●","")</f>
        <v/>
      </c>
      <c r="E10" s="11" t="str">
        <f aca="false">IF(ISNUMBER(SEARCH(","&amp;$A10&amp;",",","&amp;SUBSTITUTE(INDEX(Propuestas!$E$2:$E$35,3),", ",",")&amp;",")),"●","")</f>
        <v/>
      </c>
      <c r="F10" s="11" t="str">
        <f aca="false">IF(ISNUMBER(SEARCH(","&amp;$A10&amp;",",","&amp;SUBSTITUTE(INDEX(Propuestas!$E$2:$E$35,4),", ",",")&amp;",")),"●","")</f>
        <v/>
      </c>
      <c r="G10" s="11" t="str">
        <f aca="false">IF(ISNUMBER(SEARCH(","&amp;$A10&amp;",",","&amp;SUBSTITUTE(INDEX(Propuestas!$E$2:$E$35,5),", ",",")&amp;",")),"●","")</f>
        <v/>
      </c>
      <c r="H10" s="11" t="str">
        <f aca="false">IF(ISNUMBER(SEARCH(","&amp;$A10&amp;",",","&amp;SUBSTITUTE(INDEX(Propuestas!$E$2:$E$35,6),", ",",")&amp;",")),"●","")</f>
        <v/>
      </c>
      <c r="I10" s="11" t="str">
        <f aca="false">IF(ISNUMBER(SEARCH(","&amp;$A10&amp;",",","&amp;SUBSTITUTE(INDEX(Propuestas!$E$2:$E$35,7),", ",",")&amp;",")),"●","")</f>
        <v/>
      </c>
      <c r="J10" s="11" t="str">
        <f aca="false">IF(ISNUMBER(SEARCH(","&amp;$A10&amp;",",","&amp;SUBSTITUTE(INDEX(Propuestas!$E$2:$E$35,8),", ",",")&amp;",")),"●","")</f>
        <v>●</v>
      </c>
      <c r="K10" s="11" t="str">
        <f aca="false">IF(ISNUMBER(SEARCH(","&amp;$A10&amp;",",","&amp;SUBSTITUTE(INDEX(Propuestas!$E$2:$E$35,9),", ",",")&amp;",")),"●","")</f>
        <v/>
      </c>
      <c r="L10" s="11" t="str">
        <f aca="false">IF(ISNUMBER(SEARCH(","&amp;$A10&amp;",",","&amp;SUBSTITUTE(INDEX(Propuestas!$E$2:$E$35,10),", ",",")&amp;",")),"●","")</f>
        <v/>
      </c>
      <c r="M10" s="11" t="str">
        <f aca="false">IF(ISNUMBER(SEARCH(","&amp;$A10&amp;",",","&amp;SUBSTITUTE(INDEX(Propuestas!$E$2:$E$35,11),", ",",")&amp;",")),"●","")</f>
        <v>●</v>
      </c>
      <c r="N10" s="11" t="str">
        <f aca="false">IF(ISNUMBER(SEARCH(","&amp;$A10&amp;",",","&amp;SUBSTITUTE(INDEX(Propuestas!$E$2:$E$35,12),", ",",")&amp;",")),"●","")</f>
        <v/>
      </c>
      <c r="O10" s="11" t="str">
        <f aca="false">IF(ISNUMBER(SEARCH(","&amp;$A10&amp;",",","&amp;SUBSTITUTE(INDEX(Propuestas!$E$2:$E$35,13),", ",",")&amp;",")),"●","")</f>
        <v/>
      </c>
      <c r="P10" s="11" t="str">
        <f aca="false">IF(ISNUMBER(SEARCH(","&amp;$A10&amp;",",","&amp;SUBSTITUTE(INDEX(Propuestas!$E$2:$E$35,14),", ",",")&amp;",")),"●","")</f>
        <v/>
      </c>
      <c r="Q10" s="11" t="str">
        <f aca="false">IF(ISNUMBER(SEARCH(","&amp;$A10&amp;",",","&amp;SUBSTITUTE(INDEX(Propuestas!$E$2:$E$35,15),", ",",")&amp;",")),"●","")</f>
        <v/>
      </c>
      <c r="R10" s="11" t="str">
        <f aca="false">IF(ISNUMBER(SEARCH(","&amp;$A10&amp;",",","&amp;SUBSTITUTE(INDEX(Propuestas!$E$2:$E$35,16),", ",",")&amp;",")),"●","")</f>
        <v/>
      </c>
      <c r="S10" s="11" t="str">
        <f aca="false">IF(ISNUMBER(SEARCH(","&amp;$A10&amp;",",","&amp;SUBSTITUTE(INDEX(Propuestas!$E$2:$E$35,17),", ",",")&amp;",")),"●","")</f>
        <v/>
      </c>
      <c r="T10" s="11" t="str">
        <f aca="false">IF(ISNUMBER(SEARCH(","&amp;$A10&amp;",",","&amp;SUBSTITUTE(INDEX(Propuestas!$E$2:$E$35,18),", ",",")&amp;",")),"●","")</f>
        <v/>
      </c>
      <c r="U10" s="11" t="str">
        <f aca="false">IF(ISNUMBER(SEARCH(","&amp;$A10&amp;",",","&amp;SUBSTITUTE(INDEX(Propuestas!$E$2:$E$35,19),", ",",")&amp;",")),"●","")</f>
        <v>●</v>
      </c>
      <c r="V10" s="11" t="str">
        <f aca="false">IF(ISNUMBER(SEARCH(","&amp;$A10&amp;",",","&amp;SUBSTITUTE(INDEX(Propuestas!$E$2:$E$35,20),", ",",")&amp;",")),"●","")</f>
        <v>●</v>
      </c>
      <c r="W10" s="11" t="str">
        <f aca="false">IF(ISNUMBER(SEARCH(","&amp;$A10&amp;",",","&amp;SUBSTITUTE(INDEX(Propuestas!$E$2:$E$35,21),", ",",")&amp;",")),"●","")</f>
        <v/>
      </c>
      <c r="X10" s="11" t="str">
        <f aca="false">IF(ISNUMBER(SEARCH(","&amp;$A10&amp;",",","&amp;SUBSTITUTE(INDEX(Propuestas!$E$2:$E$35,22),", ",",")&amp;",")),"●","")</f>
        <v>●</v>
      </c>
      <c r="Y10" s="11" t="str">
        <f aca="false">IF(ISNUMBER(SEARCH(","&amp;$A10&amp;",",","&amp;SUBSTITUTE(INDEX(Propuestas!$E$2:$E$35,23),", ",",")&amp;",")),"●","")</f>
        <v/>
      </c>
      <c r="Z10" s="11" t="str">
        <f aca="false">IF(ISNUMBER(SEARCH(","&amp;$A10&amp;",",","&amp;SUBSTITUTE(INDEX(Propuestas!$E$2:$E$35,24),", ",",")&amp;",")),"●","")</f>
        <v/>
      </c>
      <c r="AA10" s="11" t="str">
        <f aca="false">IF(ISNUMBER(SEARCH(","&amp;$A10&amp;",",","&amp;SUBSTITUTE(INDEX(Propuestas!$E$2:$E$35,25),", ",",")&amp;",")),"●","")</f>
        <v/>
      </c>
      <c r="AB10" s="11" t="str">
        <f aca="false">IF(ISNUMBER(SEARCH(","&amp;$A10&amp;",",","&amp;SUBSTITUTE(INDEX(Propuestas!$E$2:$E$35,26),", ",",")&amp;",")),"●","")</f>
        <v/>
      </c>
      <c r="AC10" s="11" t="str">
        <f aca="false">IF(ISNUMBER(SEARCH(","&amp;$A10&amp;",",","&amp;SUBSTITUTE(INDEX(Propuestas!$E$2:$E$35,27),", ",",")&amp;",")),"●","")</f>
        <v/>
      </c>
      <c r="AD10" s="11" t="str">
        <f aca="false">IF(ISNUMBER(SEARCH(","&amp;$A10&amp;",",","&amp;SUBSTITUTE(INDEX(Propuestas!$E$2:$E$35,28),", ",",")&amp;",")),"●","")</f>
        <v/>
      </c>
      <c r="AE10" s="11" t="str">
        <f aca="false">IF(ISNUMBER(SEARCH(","&amp;$A10&amp;",",","&amp;SUBSTITUTE(INDEX(Propuestas!$E$2:$E$35,29),", ",",")&amp;",")),"●","")</f>
        <v/>
      </c>
      <c r="AF10" s="11" t="str">
        <f aca="false">IF(ISNUMBER(SEARCH(","&amp;$A10&amp;",",","&amp;SUBSTITUTE(INDEX(Propuestas!$E$2:$E$35,30),", ",",")&amp;",")),"●","")</f>
        <v/>
      </c>
      <c r="AG10" s="11" t="str">
        <f aca="false">IF(ISNUMBER(SEARCH(","&amp;$A10&amp;",",","&amp;SUBSTITUTE(INDEX(Propuestas!$E$2:$E$35,31),", ",",")&amp;",")),"●","")</f>
        <v/>
      </c>
      <c r="AH10" s="11" t="str">
        <f aca="false">IF(ISNUMBER(SEARCH(","&amp;$A10&amp;",",","&amp;SUBSTITUTE(INDEX(Propuestas!$E$2:$E$35,32),", ",",")&amp;",")),"●","")</f>
        <v/>
      </c>
      <c r="AI10" s="11" t="str">
        <f aca="false">IF(ISNUMBER(SEARCH(","&amp;$A10&amp;",",","&amp;SUBSTITUTE(INDEX(Propuestas!$E$2:$E$35,33),", ",",")&amp;",")),"●","")</f>
        <v/>
      </c>
      <c r="AJ10" s="11" t="str">
        <f aca="false">IF(ISNUMBER(SEARCH(","&amp;$A10&amp;",",","&amp;SUBSTITUTE(INDEX(Propuestas!$E$2:$E$35,34),", ",",")&amp;",")),"●","")</f>
        <v/>
      </c>
      <c r="AK10" s="10" t="n">
        <f aca="false">COUNTIF(C10:AJ10,"●")</f>
        <v>5</v>
      </c>
    </row>
    <row r="11" customFormat="false" ht="15" hidden="false" customHeight="false" outlineLevel="0" collapsed="false">
      <c r="A11" s="10" t="s">
        <v>392</v>
      </c>
      <c r="B11" s="10" t="n">
        <f aca="false">INDEX(Sindicatos!F:F,MATCH(A11,Sindicatos!A:A,0))</f>
        <v>4</v>
      </c>
      <c r="C11" s="11" t="str">
        <f aca="false">IF(ISNUMBER(SEARCH(","&amp;$A11&amp;",",","&amp;SUBSTITUTE(INDEX(Propuestas!$E$2:$E$35,1),", ",",")&amp;",")),"●","")</f>
        <v/>
      </c>
      <c r="D11" s="11" t="str">
        <f aca="false">IF(ISNUMBER(SEARCH(","&amp;$A11&amp;",",","&amp;SUBSTITUTE(INDEX(Propuestas!$E$2:$E$35,2),", ",",")&amp;",")),"●","")</f>
        <v/>
      </c>
      <c r="E11" s="11" t="str">
        <f aca="false">IF(ISNUMBER(SEARCH(","&amp;$A11&amp;",",","&amp;SUBSTITUTE(INDEX(Propuestas!$E$2:$E$35,3),", ",",")&amp;",")),"●","")</f>
        <v>●</v>
      </c>
      <c r="F11" s="11" t="str">
        <f aca="false">IF(ISNUMBER(SEARCH(","&amp;$A11&amp;",",","&amp;SUBSTITUTE(INDEX(Propuestas!$E$2:$E$35,4),", ",",")&amp;",")),"●","")</f>
        <v/>
      </c>
      <c r="G11" s="11" t="str">
        <f aca="false">IF(ISNUMBER(SEARCH(","&amp;$A11&amp;",",","&amp;SUBSTITUTE(INDEX(Propuestas!$E$2:$E$35,5),", ",",")&amp;",")),"●","")</f>
        <v/>
      </c>
      <c r="H11" s="11" t="str">
        <f aca="false">IF(ISNUMBER(SEARCH(","&amp;$A11&amp;",",","&amp;SUBSTITUTE(INDEX(Propuestas!$E$2:$E$35,6),", ",",")&amp;",")),"●","")</f>
        <v/>
      </c>
      <c r="I11" s="11" t="str">
        <f aca="false">IF(ISNUMBER(SEARCH(","&amp;$A11&amp;",",","&amp;SUBSTITUTE(INDEX(Propuestas!$E$2:$E$35,7),", ",",")&amp;",")),"●","")</f>
        <v/>
      </c>
      <c r="J11" s="11" t="str">
        <f aca="false">IF(ISNUMBER(SEARCH(","&amp;$A11&amp;",",","&amp;SUBSTITUTE(INDEX(Propuestas!$E$2:$E$35,8),", ",",")&amp;",")),"●","")</f>
        <v>●</v>
      </c>
      <c r="K11" s="11" t="str">
        <f aca="false">IF(ISNUMBER(SEARCH(","&amp;$A11&amp;",",","&amp;SUBSTITUTE(INDEX(Propuestas!$E$2:$E$35,9),", ",",")&amp;",")),"●","")</f>
        <v/>
      </c>
      <c r="L11" s="11" t="str">
        <f aca="false">IF(ISNUMBER(SEARCH(","&amp;$A11&amp;",",","&amp;SUBSTITUTE(INDEX(Propuestas!$E$2:$E$35,10),", ",",")&amp;",")),"●","")</f>
        <v/>
      </c>
      <c r="M11" s="11" t="str">
        <f aca="false">IF(ISNUMBER(SEARCH(","&amp;$A11&amp;",",","&amp;SUBSTITUTE(INDEX(Propuestas!$E$2:$E$35,11),", ",",")&amp;",")),"●","")</f>
        <v/>
      </c>
      <c r="N11" s="11" t="str">
        <f aca="false">IF(ISNUMBER(SEARCH(","&amp;$A11&amp;",",","&amp;SUBSTITUTE(INDEX(Propuestas!$E$2:$E$35,12),", ",",")&amp;",")),"●","")</f>
        <v/>
      </c>
      <c r="O11" s="11" t="str">
        <f aca="false">IF(ISNUMBER(SEARCH(","&amp;$A11&amp;",",","&amp;SUBSTITUTE(INDEX(Propuestas!$E$2:$E$35,13),", ",",")&amp;",")),"●","")</f>
        <v>●</v>
      </c>
      <c r="P11" s="11" t="str">
        <f aca="false">IF(ISNUMBER(SEARCH(","&amp;$A11&amp;",",","&amp;SUBSTITUTE(INDEX(Propuestas!$E$2:$E$35,14),", ",",")&amp;",")),"●","")</f>
        <v/>
      </c>
      <c r="Q11" s="11" t="str">
        <f aca="false">IF(ISNUMBER(SEARCH(","&amp;$A11&amp;",",","&amp;SUBSTITUTE(INDEX(Propuestas!$E$2:$E$35,15),", ",",")&amp;",")),"●","")</f>
        <v>●</v>
      </c>
      <c r="R11" s="11" t="str">
        <f aca="false">IF(ISNUMBER(SEARCH(","&amp;$A11&amp;",",","&amp;SUBSTITUTE(INDEX(Propuestas!$E$2:$E$35,16),", ",",")&amp;",")),"●","")</f>
        <v/>
      </c>
      <c r="S11" s="11" t="str">
        <f aca="false">IF(ISNUMBER(SEARCH(","&amp;$A11&amp;",",","&amp;SUBSTITUTE(INDEX(Propuestas!$E$2:$E$35,17),", ",",")&amp;",")),"●","")</f>
        <v>●</v>
      </c>
      <c r="T11" s="11" t="str">
        <f aca="false">IF(ISNUMBER(SEARCH(","&amp;$A11&amp;",",","&amp;SUBSTITUTE(INDEX(Propuestas!$E$2:$E$35,18),", ",",")&amp;",")),"●","")</f>
        <v>●</v>
      </c>
      <c r="U11" s="11" t="str">
        <f aca="false">IF(ISNUMBER(SEARCH(","&amp;$A11&amp;",",","&amp;SUBSTITUTE(INDEX(Propuestas!$E$2:$E$35,19),", ",",")&amp;",")),"●","")</f>
        <v>●</v>
      </c>
      <c r="V11" s="11" t="str">
        <f aca="false">IF(ISNUMBER(SEARCH(","&amp;$A11&amp;",",","&amp;SUBSTITUTE(INDEX(Propuestas!$E$2:$E$35,20),", ",",")&amp;",")),"●","")</f>
        <v>●</v>
      </c>
      <c r="W11" s="11" t="str">
        <f aca="false">IF(ISNUMBER(SEARCH(","&amp;$A11&amp;",",","&amp;SUBSTITUTE(INDEX(Propuestas!$E$2:$E$35,21),", ",",")&amp;",")),"●","")</f>
        <v>●</v>
      </c>
      <c r="X11" s="11" t="str">
        <f aca="false">IF(ISNUMBER(SEARCH(","&amp;$A11&amp;",",","&amp;SUBSTITUTE(INDEX(Propuestas!$E$2:$E$35,22),", ",",")&amp;",")),"●","")</f>
        <v>●</v>
      </c>
      <c r="Y11" s="11" t="str">
        <f aca="false">IF(ISNUMBER(SEARCH(","&amp;$A11&amp;",",","&amp;SUBSTITUTE(INDEX(Propuestas!$E$2:$E$35,23),", ",",")&amp;",")),"●","")</f>
        <v>●</v>
      </c>
      <c r="Z11" s="11" t="str">
        <f aca="false">IF(ISNUMBER(SEARCH(","&amp;$A11&amp;",",","&amp;SUBSTITUTE(INDEX(Propuestas!$E$2:$E$35,24),", ",",")&amp;",")),"●","")</f>
        <v/>
      </c>
      <c r="AA11" s="11" t="str">
        <f aca="false">IF(ISNUMBER(SEARCH(","&amp;$A11&amp;",",","&amp;SUBSTITUTE(INDEX(Propuestas!$E$2:$E$35,25),", ",",")&amp;",")),"●","")</f>
        <v/>
      </c>
      <c r="AB11" s="11" t="str">
        <f aca="false">IF(ISNUMBER(SEARCH(","&amp;$A11&amp;",",","&amp;SUBSTITUTE(INDEX(Propuestas!$E$2:$E$35,26),", ",",")&amp;",")),"●","")</f>
        <v/>
      </c>
      <c r="AC11" s="11" t="str">
        <f aca="false">IF(ISNUMBER(SEARCH(","&amp;$A11&amp;",",","&amp;SUBSTITUTE(INDEX(Propuestas!$E$2:$E$35,27),", ",",")&amp;",")),"●","")</f>
        <v>●</v>
      </c>
      <c r="AD11" s="11" t="str">
        <f aca="false">IF(ISNUMBER(SEARCH(","&amp;$A11&amp;",",","&amp;SUBSTITUTE(INDEX(Propuestas!$E$2:$E$35,28),", ",",")&amp;",")),"●","")</f>
        <v/>
      </c>
      <c r="AE11" s="11" t="str">
        <f aca="false">IF(ISNUMBER(SEARCH(","&amp;$A11&amp;",",","&amp;SUBSTITUTE(INDEX(Propuestas!$E$2:$E$35,29),", ",",")&amp;",")),"●","")</f>
        <v/>
      </c>
      <c r="AF11" s="11" t="str">
        <f aca="false">IF(ISNUMBER(SEARCH(","&amp;$A11&amp;",",","&amp;SUBSTITUTE(INDEX(Propuestas!$E$2:$E$35,30),", ",",")&amp;",")),"●","")</f>
        <v>●</v>
      </c>
      <c r="AG11" s="11" t="str">
        <f aca="false">IF(ISNUMBER(SEARCH(","&amp;$A11&amp;",",","&amp;SUBSTITUTE(INDEX(Propuestas!$E$2:$E$35,31),", ",",")&amp;",")),"●","")</f>
        <v/>
      </c>
      <c r="AH11" s="11" t="str">
        <f aca="false">IF(ISNUMBER(SEARCH(","&amp;$A11&amp;",",","&amp;SUBSTITUTE(INDEX(Propuestas!$E$2:$E$35,32),", ",",")&amp;",")),"●","")</f>
        <v/>
      </c>
      <c r="AI11" s="11" t="str">
        <f aca="false">IF(ISNUMBER(SEARCH(","&amp;$A11&amp;",",","&amp;SUBSTITUTE(INDEX(Propuestas!$E$2:$E$35,33),", ",",")&amp;",")),"●","")</f>
        <v/>
      </c>
      <c r="AJ11" s="11" t="str">
        <f aca="false">IF(ISNUMBER(SEARCH(","&amp;$A11&amp;",",","&amp;SUBSTITUTE(INDEX(Propuestas!$E$2:$E$35,34),", ",",")&amp;",")),"●","")</f>
        <v/>
      </c>
      <c r="AK11" s="10" t="n">
        <f aca="false">COUNTIF(C11:AJ11,"●")</f>
        <v>13</v>
      </c>
    </row>
    <row r="12" customFormat="false" ht="15" hidden="false" customHeight="false" outlineLevel="0" collapsed="false">
      <c r="A12" s="10" t="s">
        <v>400</v>
      </c>
      <c r="B12" s="10" t="n">
        <f aca="false">INDEX(Sindicatos!F:F,MATCH(A12,Sindicatos!A:A,0))</f>
        <v>3</v>
      </c>
      <c r="C12" s="11" t="str">
        <f aca="false">IF(ISNUMBER(SEARCH(","&amp;$A12&amp;",",","&amp;SUBSTITUTE(INDEX(Propuestas!$E$2:$E$35,1),", ",",")&amp;",")),"●","")</f>
        <v>●</v>
      </c>
      <c r="D12" s="11" t="str">
        <f aca="false">IF(ISNUMBER(SEARCH(","&amp;$A12&amp;",",","&amp;SUBSTITUTE(INDEX(Propuestas!$E$2:$E$35,2),", ",",")&amp;",")),"●","")</f>
        <v/>
      </c>
      <c r="E12" s="11" t="str">
        <f aca="false">IF(ISNUMBER(SEARCH(","&amp;$A12&amp;",",","&amp;SUBSTITUTE(INDEX(Propuestas!$E$2:$E$35,3),", ",",")&amp;",")),"●","")</f>
        <v/>
      </c>
      <c r="F12" s="11" t="str">
        <f aca="false">IF(ISNUMBER(SEARCH(","&amp;$A12&amp;",",","&amp;SUBSTITUTE(INDEX(Propuestas!$E$2:$E$35,4),", ",",")&amp;",")),"●","")</f>
        <v>●</v>
      </c>
      <c r="G12" s="11" t="str">
        <f aca="false">IF(ISNUMBER(SEARCH(","&amp;$A12&amp;",",","&amp;SUBSTITUTE(INDEX(Propuestas!$E$2:$E$35,5),", ",",")&amp;",")),"●","")</f>
        <v>●</v>
      </c>
      <c r="H12" s="11" t="str">
        <f aca="false">IF(ISNUMBER(SEARCH(","&amp;$A12&amp;",",","&amp;SUBSTITUTE(INDEX(Propuestas!$E$2:$E$35,6),", ",",")&amp;",")),"●","")</f>
        <v/>
      </c>
      <c r="I12" s="11" t="str">
        <f aca="false">IF(ISNUMBER(SEARCH(","&amp;$A12&amp;",",","&amp;SUBSTITUTE(INDEX(Propuestas!$E$2:$E$35,7),", ",",")&amp;",")),"●","")</f>
        <v>●</v>
      </c>
      <c r="J12" s="11" t="str">
        <f aca="false">IF(ISNUMBER(SEARCH(","&amp;$A12&amp;",",","&amp;SUBSTITUTE(INDEX(Propuestas!$E$2:$E$35,8),", ",",")&amp;",")),"●","")</f>
        <v/>
      </c>
      <c r="K12" s="11" t="str">
        <f aca="false">IF(ISNUMBER(SEARCH(","&amp;$A12&amp;",",","&amp;SUBSTITUTE(INDEX(Propuestas!$E$2:$E$35,9),", ",",")&amp;",")),"●","")</f>
        <v/>
      </c>
      <c r="L12" s="11" t="str">
        <f aca="false">IF(ISNUMBER(SEARCH(","&amp;$A12&amp;",",","&amp;SUBSTITUTE(INDEX(Propuestas!$E$2:$E$35,10),", ",",")&amp;",")),"●","")</f>
        <v>●</v>
      </c>
      <c r="M12" s="11" t="str">
        <f aca="false">IF(ISNUMBER(SEARCH(","&amp;$A12&amp;",",","&amp;SUBSTITUTE(INDEX(Propuestas!$E$2:$E$35,11),", ",",")&amp;",")),"●","")</f>
        <v/>
      </c>
      <c r="N12" s="11" t="str">
        <f aca="false">IF(ISNUMBER(SEARCH(","&amp;$A12&amp;",",","&amp;SUBSTITUTE(INDEX(Propuestas!$E$2:$E$35,12),", ",",")&amp;",")),"●","")</f>
        <v>●</v>
      </c>
      <c r="O12" s="11" t="str">
        <f aca="false">IF(ISNUMBER(SEARCH(","&amp;$A12&amp;",",","&amp;SUBSTITUTE(INDEX(Propuestas!$E$2:$E$35,13),", ",",")&amp;",")),"●","")</f>
        <v/>
      </c>
      <c r="P12" s="11" t="str">
        <f aca="false">IF(ISNUMBER(SEARCH(","&amp;$A12&amp;",",","&amp;SUBSTITUTE(INDEX(Propuestas!$E$2:$E$35,14),", ",",")&amp;",")),"●","")</f>
        <v/>
      </c>
      <c r="Q12" s="11" t="str">
        <f aca="false">IF(ISNUMBER(SEARCH(","&amp;$A12&amp;",",","&amp;SUBSTITUTE(INDEX(Propuestas!$E$2:$E$35,15),", ",",")&amp;",")),"●","")</f>
        <v>●</v>
      </c>
      <c r="R12" s="11" t="str">
        <f aca="false">IF(ISNUMBER(SEARCH(","&amp;$A12&amp;",",","&amp;SUBSTITUTE(INDEX(Propuestas!$E$2:$E$35,16),", ",",")&amp;",")),"●","")</f>
        <v>●</v>
      </c>
      <c r="S12" s="11" t="str">
        <f aca="false">IF(ISNUMBER(SEARCH(","&amp;$A12&amp;",",","&amp;SUBSTITUTE(INDEX(Propuestas!$E$2:$E$35,17),", ",",")&amp;",")),"●","")</f>
        <v/>
      </c>
      <c r="T12" s="11" t="str">
        <f aca="false">IF(ISNUMBER(SEARCH(","&amp;$A12&amp;",",","&amp;SUBSTITUTE(INDEX(Propuestas!$E$2:$E$35,18),", ",",")&amp;",")),"●","")</f>
        <v/>
      </c>
      <c r="U12" s="11" t="str">
        <f aca="false">IF(ISNUMBER(SEARCH(","&amp;$A12&amp;",",","&amp;SUBSTITUTE(INDEX(Propuestas!$E$2:$E$35,19),", ",",")&amp;",")),"●","")</f>
        <v/>
      </c>
      <c r="V12" s="11" t="str">
        <f aca="false">IF(ISNUMBER(SEARCH(","&amp;$A12&amp;",",","&amp;SUBSTITUTE(INDEX(Propuestas!$E$2:$E$35,20),", ",",")&amp;",")),"●","")</f>
        <v>●</v>
      </c>
      <c r="W12" s="11" t="str">
        <f aca="false">IF(ISNUMBER(SEARCH(","&amp;$A12&amp;",",","&amp;SUBSTITUTE(INDEX(Propuestas!$E$2:$E$35,21),", ",",")&amp;",")),"●","")</f>
        <v/>
      </c>
      <c r="X12" s="11" t="str">
        <f aca="false">IF(ISNUMBER(SEARCH(","&amp;$A12&amp;",",","&amp;SUBSTITUTE(INDEX(Propuestas!$E$2:$E$35,22),", ",",")&amp;",")),"●","")</f>
        <v/>
      </c>
      <c r="Y12" s="11" t="str">
        <f aca="false">IF(ISNUMBER(SEARCH(","&amp;$A12&amp;",",","&amp;SUBSTITUTE(INDEX(Propuestas!$E$2:$E$35,23),", ",",")&amp;",")),"●","")</f>
        <v>●</v>
      </c>
      <c r="Z12" s="11" t="str">
        <f aca="false">IF(ISNUMBER(SEARCH(","&amp;$A12&amp;",",","&amp;SUBSTITUTE(INDEX(Propuestas!$E$2:$E$35,24),", ",",")&amp;",")),"●","")</f>
        <v/>
      </c>
      <c r="AA12" s="11" t="str">
        <f aca="false">IF(ISNUMBER(SEARCH(","&amp;$A12&amp;",",","&amp;SUBSTITUTE(INDEX(Propuestas!$E$2:$E$35,25),", ",",")&amp;",")),"●","")</f>
        <v>●</v>
      </c>
      <c r="AB12" s="11" t="str">
        <f aca="false">IF(ISNUMBER(SEARCH(","&amp;$A12&amp;",",","&amp;SUBSTITUTE(INDEX(Propuestas!$E$2:$E$35,26),", ",",")&amp;",")),"●","")</f>
        <v/>
      </c>
      <c r="AC12" s="11" t="str">
        <f aca="false">IF(ISNUMBER(SEARCH(","&amp;$A12&amp;",",","&amp;SUBSTITUTE(INDEX(Propuestas!$E$2:$E$35,27),", ",",")&amp;",")),"●","")</f>
        <v/>
      </c>
      <c r="AD12" s="11" t="str">
        <f aca="false">IF(ISNUMBER(SEARCH(","&amp;$A12&amp;",",","&amp;SUBSTITUTE(INDEX(Propuestas!$E$2:$E$35,28),", ",",")&amp;",")),"●","")</f>
        <v/>
      </c>
      <c r="AE12" s="11" t="str">
        <f aca="false">IF(ISNUMBER(SEARCH(","&amp;$A12&amp;",",","&amp;SUBSTITUTE(INDEX(Propuestas!$E$2:$E$35,29),", ",",")&amp;",")),"●","")</f>
        <v>●</v>
      </c>
      <c r="AF12" s="11" t="str">
        <f aca="false">IF(ISNUMBER(SEARCH(","&amp;$A12&amp;",",","&amp;SUBSTITUTE(INDEX(Propuestas!$E$2:$E$35,30),", ",",")&amp;",")),"●","")</f>
        <v>●</v>
      </c>
      <c r="AG12" s="11" t="str">
        <f aca="false">IF(ISNUMBER(SEARCH(","&amp;$A12&amp;",",","&amp;SUBSTITUTE(INDEX(Propuestas!$E$2:$E$35,31),", ",",")&amp;",")),"●","")</f>
        <v/>
      </c>
      <c r="AH12" s="11" t="str">
        <f aca="false">IF(ISNUMBER(SEARCH(","&amp;$A12&amp;",",","&amp;SUBSTITUTE(INDEX(Propuestas!$E$2:$E$35,32),", ",",")&amp;",")),"●","")</f>
        <v>●</v>
      </c>
      <c r="AI12" s="11" t="str">
        <f aca="false">IF(ISNUMBER(SEARCH(","&amp;$A12&amp;",",","&amp;SUBSTITUTE(INDEX(Propuestas!$E$2:$E$35,33),", ",",")&amp;",")),"●","")</f>
        <v/>
      </c>
      <c r="AJ12" s="11" t="str">
        <f aca="false">IF(ISNUMBER(SEARCH(","&amp;$A12&amp;",",","&amp;SUBSTITUTE(INDEX(Propuestas!$E$2:$E$35,34),", ",",")&amp;",")),"●","")</f>
        <v/>
      </c>
      <c r="AK12" s="10" t="n">
        <f aca="false">COUNTIF(C12:AJ12,"●")</f>
        <v>14</v>
      </c>
    </row>
    <row r="13" customFormat="false" ht="15" hidden="false" customHeight="false" outlineLevel="0" collapsed="false">
      <c r="A13" s="10" t="s">
        <v>409</v>
      </c>
      <c r="B13" s="10" t="n">
        <f aca="false">INDEX(Sindicatos!F:F,MATCH(A13,Sindicatos!A:A,0))</f>
        <v>3</v>
      </c>
      <c r="C13" s="11" t="str">
        <f aca="false">IF(ISNUMBER(SEARCH(","&amp;$A13&amp;",",","&amp;SUBSTITUTE(INDEX(Propuestas!$E$2:$E$35,1),", ",",")&amp;",")),"●","")</f>
        <v/>
      </c>
      <c r="D13" s="11" t="str">
        <f aca="false">IF(ISNUMBER(SEARCH(","&amp;$A13&amp;",",","&amp;SUBSTITUTE(INDEX(Propuestas!$E$2:$E$35,2),", ",",")&amp;",")),"●","")</f>
        <v>●</v>
      </c>
      <c r="E13" s="11" t="str">
        <f aca="false">IF(ISNUMBER(SEARCH(","&amp;$A13&amp;",",","&amp;SUBSTITUTE(INDEX(Propuestas!$E$2:$E$35,3),", ",",")&amp;",")),"●","")</f>
        <v/>
      </c>
      <c r="F13" s="11" t="str">
        <f aca="false">IF(ISNUMBER(SEARCH(","&amp;$A13&amp;",",","&amp;SUBSTITUTE(INDEX(Propuestas!$E$2:$E$35,4),", ",",")&amp;",")),"●","")</f>
        <v/>
      </c>
      <c r="G13" s="11" t="str">
        <f aca="false">IF(ISNUMBER(SEARCH(","&amp;$A13&amp;",",","&amp;SUBSTITUTE(INDEX(Propuestas!$E$2:$E$35,5),", ",",")&amp;",")),"●","")</f>
        <v/>
      </c>
      <c r="H13" s="11" t="str">
        <f aca="false">IF(ISNUMBER(SEARCH(","&amp;$A13&amp;",",","&amp;SUBSTITUTE(INDEX(Propuestas!$E$2:$E$35,6),", ",",")&amp;",")),"●","")</f>
        <v/>
      </c>
      <c r="I13" s="11" t="str">
        <f aca="false">IF(ISNUMBER(SEARCH(","&amp;$A13&amp;",",","&amp;SUBSTITUTE(INDEX(Propuestas!$E$2:$E$35,7),", ",",")&amp;",")),"●","")</f>
        <v/>
      </c>
      <c r="J13" s="11" t="str">
        <f aca="false">IF(ISNUMBER(SEARCH(","&amp;$A13&amp;",",","&amp;SUBSTITUTE(INDEX(Propuestas!$E$2:$E$35,8),", ",",")&amp;",")),"●","")</f>
        <v/>
      </c>
      <c r="K13" s="11" t="str">
        <f aca="false">IF(ISNUMBER(SEARCH(","&amp;$A13&amp;",",","&amp;SUBSTITUTE(INDEX(Propuestas!$E$2:$E$35,9),", ",",")&amp;",")),"●","")</f>
        <v>●</v>
      </c>
      <c r="L13" s="11" t="str">
        <f aca="false">IF(ISNUMBER(SEARCH(","&amp;$A13&amp;",",","&amp;SUBSTITUTE(INDEX(Propuestas!$E$2:$E$35,10),", ",",")&amp;",")),"●","")</f>
        <v/>
      </c>
      <c r="M13" s="11" t="str">
        <f aca="false">IF(ISNUMBER(SEARCH(","&amp;$A13&amp;",",","&amp;SUBSTITUTE(INDEX(Propuestas!$E$2:$E$35,11),", ",",")&amp;",")),"●","")</f>
        <v/>
      </c>
      <c r="N13" s="11" t="str">
        <f aca="false">IF(ISNUMBER(SEARCH(","&amp;$A13&amp;",",","&amp;SUBSTITUTE(INDEX(Propuestas!$E$2:$E$35,12),", ",",")&amp;",")),"●","")</f>
        <v/>
      </c>
      <c r="O13" s="11" t="str">
        <f aca="false">IF(ISNUMBER(SEARCH(","&amp;$A13&amp;",",","&amp;SUBSTITUTE(INDEX(Propuestas!$E$2:$E$35,13),", ",",")&amp;",")),"●","")</f>
        <v>●</v>
      </c>
      <c r="P13" s="11" t="str">
        <f aca="false">IF(ISNUMBER(SEARCH(","&amp;$A13&amp;",",","&amp;SUBSTITUTE(INDEX(Propuestas!$E$2:$E$35,14),", ",",")&amp;",")),"●","")</f>
        <v/>
      </c>
      <c r="Q13" s="11" t="str">
        <f aca="false">IF(ISNUMBER(SEARCH(","&amp;$A13&amp;",",","&amp;SUBSTITUTE(INDEX(Propuestas!$E$2:$E$35,15),", ",",")&amp;",")),"●","")</f>
        <v/>
      </c>
      <c r="R13" s="11" t="str">
        <f aca="false">IF(ISNUMBER(SEARCH(","&amp;$A13&amp;",",","&amp;SUBSTITUTE(INDEX(Propuestas!$E$2:$E$35,16),", ",",")&amp;",")),"●","")</f>
        <v/>
      </c>
      <c r="S13" s="11" t="str">
        <f aca="false">IF(ISNUMBER(SEARCH(","&amp;$A13&amp;",",","&amp;SUBSTITUTE(INDEX(Propuestas!$E$2:$E$35,17),", ",",")&amp;",")),"●","")</f>
        <v/>
      </c>
      <c r="T13" s="11" t="str">
        <f aca="false">IF(ISNUMBER(SEARCH(","&amp;$A13&amp;",",","&amp;SUBSTITUTE(INDEX(Propuestas!$E$2:$E$35,18),", ",",")&amp;",")),"●","")</f>
        <v/>
      </c>
      <c r="U13" s="11" t="str">
        <f aca="false">IF(ISNUMBER(SEARCH(","&amp;$A13&amp;",",","&amp;SUBSTITUTE(INDEX(Propuestas!$E$2:$E$35,19),", ",",")&amp;",")),"●","")</f>
        <v>●</v>
      </c>
      <c r="V13" s="11" t="str">
        <f aca="false">IF(ISNUMBER(SEARCH(","&amp;$A13&amp;",",","&amp;SUBSTITUTE(INDEX(Propuestas!$E$2:$E$35,20),", ",",")&amp;",")),"●","")</f>
        <v>●</v>
      </c>
      <c r="W13" s="11" t="str">
        <f aca="false">IF(ISNUMBER(SEARCH(","&amp;$A13&amp;",",","&amp;SUBSTITUTE(INDEX(Propuestas!$E$2:$E$35,21),", ",",")&amp;",")),"●","")</f>
        <v/>
      </c>
      <c r="X13" s="11" t="str">
        <f aca="false">IF(ISNUMBER(SEARCH(","&amp;$A13&amp;",",","&amp;SUBSTITUTE(INDEX(Propuestas!$E$2:$E$35,22),", ",",")&amp;",")),"●","")</f>
        <v>●</v>
      </c>
      <c r="Y13" s="11" t="str">
        <f aca="false">IF(ISNUMBER(SEARCH(","&amp;$A13&amp;",",","&amp;SUBSTITUTE(INDEX(Propuestas!$E$2:$E$35,23),", ",",")&amp;",")),"●","")</f>
        <v/>
      </c>
      <c r="Z13" s="11" t="str">
        <f aca="false">IF(ISNUMBER(SEARCH(","&amp;$A13&amp;",",","&amp;SUBSTITUTE(INDEX(Propuestas!$E$2:$E$35,24),", ",",")&amp;",")),"●","")</f>
        <v/>
      </c>
      <c r="AA13" s="11" t="str">
        <f aca="false">IF(ISNUMBER(SEARCH(","&amp;$A13&amp;",",","&amp;SUBSTITUTE(INDEX(Propuestas!$E$2:$E$35,25),", ",",")&amp;",")),"●","")</f>
        <v/>
      </c>
      <c r="AB13" s="11" t="str">
        <f aca="false">IF(ISNUMBER(SEARCH(","&amp;$A13&amp;",",","&amp;SUBSTITUTE(INDEX(Propuestas!$E$2:$E$35,26),", ",",")&amp;",")),"●","")</f>
        <v>●</v>
      </c>
      <c r="AC13" s="11" t="str">
        <f aca="false">IF(ISNUMBER(SEARCH(","&amp;$A13&amp;",",","&amp;SUBSTITUTE(INDEX(Propuestas!$E$2:$E$35,27),", ",",")&amp;",")),"●","")</f>
        <v/>
      </c>
      <c r="AD13" s="11" t="str">
        <f aca="false">IF(ISNUMBER(SEARCH(","&amp;$A13&amp;",",","&amp;SUBSTITUTE(INDEX(Propuestas!$E$2:$E$35,28),", ",",")&amp;",")),"●","")</f>
        <v/>
      </c>
      <c r="AE13" s="11" t="str">
        <f aca="false">IF(ISNUMBER(SEARCH(","&amp;$A13&amp;",",","&amp;SUBSTITUTE(INDEX(Propuestas!$E$2:$E$35,29),", ",",")&amp;",")),"●","")</f>
        <v/>
      </c>
      <c r="AF13" s="11" t="str">
        <f aca="false">IF(ISNUMBER(SEARCH(","&amp;$A13&amp;",",","&amp;SUBSTITUTE(INDEX(Propuestas!$E$2:$E$35,30),", ",",")&amp;",")),"●","")</f>
        <v/>
      </c>
      <c r="AG13" s="11" t="str">
        <f aca="false">IF(ISNUMBER(SEARCH(","&amp;$A13&amp;",",","&amp;SUBSTITUTE(INDEX(Propuestas!$E$2:$E$35,31),", ",",")&amp;",")),"●","")</f>
        <v/>
      </c>
      <c r="AH13" s="11" t="str">
        <f aca="false">IF(ISNUMBER(SEARCH(","&amp;$A13&amp;",",","&amp;SUBSTITUTE(INDEX(Propuestas!$E$2:$E$35,32),", ",",")&amp;",")),"●","")</f>
        <v/>
      </c>
      <c r="AI13" s="11" t="str">
        <f aca="false">IF(ISNUMBER(SEARCH(","&amp;$A13&amp;",",","&amp;SUBSTITUTE(INDEX(Propuestas!$E$2:$E$35,33),", ",",")&amp;",")),"●","")</f>
        <v/>
      </c>
      <c r="AJ13" s="11" t="str">
        <f aca="false">IF(ISNUMBER(SEARCH(","&amp;$A13&amp;",",","&amp;SUBSTITUTE(INDEX(Propuestas!$E$2:$E$35,34),", ",",")&amp;",")),"●","")</f>
        <v/>
      </c>
      <c r="AK13" s="10" t="n">
        <f aca="false">COUNTIF(C13:AJ13,"●")</f>
        <v>7</v>
      </c>
    </row>
    <row r="14" customFormat="false" ht="15" hidden="false" customHeight="false" outlineLevel="0" collapsed="false">
      <c r="A14" s="10" t="s">
        <v>418</v>
      </c>
      <c r="B14" s="10" t="n">
        <f aca="false">INDEX(Sindicatos!F:F,MATCH(A14,Sindicatos!A:A,0))</f>
        <v>3</v>
      </c>
      <c r="C14" s="11" t="str">
        <f aca="false">IF(ISNUMBER(SEARCH(","&amp;$A14&amp;",",","&amp;SUBSTITUTE(INDEX(Propuestas!$E$2:$E$35,1),", ",",")&amp;",")),"●","")</f>
        <v>●</v>
      </c>
      <c r="D14" s="11" t="str">
        <f aca="false">IF(ISNUMBER(SEARCH(","&amp;$A14&amp;",",","&amp;SUBSTITUTE(INDEX(Propuestas!$E$2:$E$35,2),", ",",")&amp;",")),"●","")</f>
        <v>●</v>
      </c>
      <c r="E14" s="11" t="str">
        <f aca="false">IF(ISNUMBER(SEARCH(","&amp;$A14&amp;",",","&amp;SUBSTITUTE(INDEX(Propuestas!$E$2:$E$35,3),", ",",")&amp;",")),"●","")</f>
        <v/>
      </c>
      <c r="F14" s="11" t="str">
        <f aca="false">IF(ISNUMBER(SEARCH(","&amp;$A14&amp;",",","&amp;SUBSTITUTE(INDEX(Propuestas!$E$2:$E$35,4),", ",",")&amp;",")),"●","")</f>
        <v>●</v>
      </c>
      <c r="G14" s="11" t="str">
        <f aca="false">IF(ISNUMBER(SEARCH(","&amp;$A14&amp;",",","&amp;SUBSTITUTE(INDEX(Propuestas!$E$2:$E$35,5),", ",",")&amp;",")),"●","")</f>
        <v/>
      </c>
      <c r="H14" s="11" t="str">
        <f aca="false">IF(ISNUMBER(SEARCH(","&amp;$A14&amp;",",","&amp;SUBSTITUTE(INDEX(Propuestas!$E$2:$E$35,6),", ",",")&amp;",")),"●","")</f>
        <v>●</v>
      </c>
      <c r="I14" s="11" t="str">
        <f aca="false">IF(ISNUMBER(SEARCH(","&amp;$A14&amp;",",","&amp;SUBSTITUTE(INDEX(Propuestas!$E$2:$E$35,7),", ",",")&amp;",")),"●","")</f>
        <v>●</v>
      </c>
      <c r="J14" s="11" t="str">
        <f aca="false">IF(ISNUMBER(SEARCH(","&amp;$A14&amp;",",","&amp;SUBSTITUTE(INDEX(Propuestas!$E$2:$E$35,8),", ",",")&amp;",")),"●","")</f>
        <v>●</v>
      </c>
      <c r="K14" s="11" t="str">
        <f aca="false">IF(ISNUMBER(SEARCH(","&amp;$A14&amp;",",","&amp;SUBSTITUTE(INDEX(Propuestas!$E$2:$E$35,9),", ",",")&amp;",")),"●","")</f>
        <v/>
      </c>
      <c r="L14" s="11" t="str">
        <f aca="false">IF(ISNUMBER(SEARCH(","&amp;$A14&amp;",",","&amp;SUBSTITUTE(INDEX(Propuestas!$E$2:$E$35,10),", ",",")&amp;",")),"●","")</f>
        <v/>
      </c>
      <c r="M14" s="11" t="str">
        <f aca="false">IF(ISNUMBER(SEARCH(","&amp;$A14&amp;",",","&amp;SUBSTITUTE(INDEX(Propuestas!$E$2:$E$35,11),", ",",")&amp;",")),"●","")</f>
        <v/>
      </c>
      <c r="N14" s="11" t="str">
        <f aca="false">IF(ISNUMBER(SEARCH(","&amp;$A14&amp;",",","&amp;SUBSTITUTE(INDEX(Propuestas!$E$2:$E$35,12),", ",",")&amp;",")),"●","")</f>
        <v/>
      </c>
      <c r="O14" s="11" t="str">
        <f aca="false">IF(ISNUMBER(SEARCH(","&amp;$A14&amp;",",","&amp;SUBSTITUTE(INDEX(Propuestas!$E$2:$E$35,13),", ",",")&amp;",")),"●","")</f>
        <v/>
      </c>
      <c r="P14" s="11" t="str">
        <f aca="false">IF(ISNUMBER(SEARCH(","&amp;$A14&amp;",",","&amp;SUBSTITUTE(INDEX(Propuestas!$E$2:$E$35,14),", ",",")&amp;",")),"●","")</f>
        <v/>
      </c>
      <c r="Q14" s="11" t="str">
        <f aca="false">IF(ISNUMBER(SEARCH(","&amp;$A14&amp;",",","&amp;SUBSTITUTE(INDEX(Propuestas!$E$2:$E$35,15),", ",",")&amp;",")),"●","")</f>
        <v>●</v>
      </c>
      <c r="R14" s="11" t="str">
        <f aca="false">IF(ISNUMBER(SEARCH(","&amp;$A14&amp;",",","&amp;SUBSTITUTE(INDEX(Propuestas!$E$2:$E$35,16),", ",",")&amp;",")),"●","")</f>
        <v>●</v>
      </c>
      <c r="S14" s="11" t="str">
        <f aca="false">IF(ISNUMBER(SEARCH(","&amp;$A14&amp;",",","&amp;SUBSTITUTE(INDEX(Propuestas!$E$2:$E$35,17),", ",",")&amp;",")),"●","")</f>
        <v/>
      </c>
      <c r="T14" s="11" t="str">
        <f aca="false">IF(ISNUMBER(SEARCH(","&amp;$A14&amp;",",","&amp;SUBSTITUTE(INDEX(Propuestas!$E$2:$E$35,18),", ",",")&amp;",")),"●","")</f>
        <v/>
      </c>
      <c r="U14" s="11" t="str">
        <f aca="false">IF(ISNUMBER(SEARCH(","&amp;$A14&amp;",",","&amp;SUBSTITUTE(INDEX(Propuestas!$E$2:$E$35,19),", ",",")&amp;",")),"●","")</f>
        <v/>
      </c>
      <c r="V14" s="11" t="str">
        <f aca="false">IF(ISNUMBER(SEARCH(","&amp;$A14&amp;",",","&amp;SUBSTITUTE(INDEX(Propuestas!$E$2:$E$35,20),", ",",")&amp;",")),"●","")</f>
        <v>●</v>
      </c>
      <c r="W14" s="11" t="str">
        <f aca="false">IF(ISNUMBER(SEARCH(","&amp;$A14&amp;",",","&amp;SUBSTITUTE(INDEX(Propuestas!$E$2:$E$35,21),", ",",")&amp;",")),"●","")</f>
        <v/>
      </c>
      <c r="X14" s="11" t="str">
        <f aca="false">IF(ISNUMBER(SEARCH(","&amp;$A14&amp;",",","&amp;SUBSTITUTE(INDEX(Propuestas!$E$2:$E$35,22),", ",",")&amp;",")),"●","")</f>
        <v/>
      </c>
      <c r="Y14" s="11" t="str">
        <f aca="false">IF(ISNUMBER(SEARCH(","&amp;$A14&amp;",",","&amp;SUBSTITUTE(INDEX(Propuestas!$E$2:$E$35,23),", ",",")&amp;",")),"●","")</f>
        <v/>
      </c>
      <c r="Z14" s="11" t="str">
        <f aca="false">IF(ISNUMBER(SEARCH(","&amp;$A14&amp;",",","&amp;SUBSTITUTE(INDEX(Propuestas!$E$2:$E$35,24),", ",",")&amp;",")),"●","")</f>
        <v/>
      </c>
      <c r="AA14" s="11" t="str">
        <f aca="false">IF(ISNUMBER(SEARCH(","&amp;$A14&amp;",",","&amp;SUBSTITUTE(INDEX(Propuestas!$E$2:$E$35,25),", ",",")&amp;",")),"●","")</f>
        <v/>
      </c>
      <c r="AB14" s="11" t="str">
        <f aca="false">IF(ISNUMBER(SEARCH(","&amp;$A14&amp;",",","&amp;SUBSTITUTE(INDEX(Propuestas!$E$2:$E$35,26),", ",",")&amp;",")),"●","")</f>
        <v/>
      </c>
      <c r="AC14" s="11" t="str">
        <f aca="false">IF(ISNUMBER(SEARCH(","&amp;$A14&amp;",",","&amp;SUBSTITUTE(INDEX(Propuestas!$E$2:$E$35,27),", ",",")&amp;",")),"●","")</f>
        <v/>
      </c>
      <c r="AD14" s="11" t="str">
        <f aca="false">IF(ISNUMBER(SEARCH(","&amp;$A14&amp;",",","&amp;SUBSTITUTE(INDEX(Propuestas!$E$2:$E$35,28),", ",",")&amp;",")),"●","")</f>
        <v>●</v>
      </c>
      <c r="AE14" s="11" t="str">
        <f aca="false">IF(ISNUMBER(SEARCH(","&amp;$A14&amp;",",","&amp;SUBSTITUTE(INDEX(Propuestas!$E$2:$E$35,29),", ",",")&amp;",")),"●","")</f>
        <v/>
      </c>
      <c r="AF14" s="11" t="str">
        <f aca="false">IF(ISNUMBER(SEARCH(","&amp;$A14&amp;",",","&amp;SUBSTITUTE(INDEX(Propuestas!$E$2:$E$35,30),", ",",")&amp;",")),"●","")</f>
        <v/>
      </c>
      <c r="AG14" s="11" t="str">
        <f aca="false">IF(ISNUMBER(SEARCH(","&amp;$A14&amp;",",","&amp;SUBSTITUTE(INDEX(Propuestas!$E$2:$E$35,31),", ",",")&amp;",")),"●","")</f>
        <v/>
      </c>
      <c r="AH14" s="11" t="str">
        <f aca="false">IF(ISNUMBER(SEARCH(","&amp;$A14&amp;",",","&amp;SUBSTITUTE(INDEX(Propuestas!$E$2:$E$35,32),", ",",")&amp;",")),"●","")</f>
        <v/>
      </c>
      <c r="AI14" s="11" t="str">
        <f aca="false">IF(ISNUMBER(SEARCH(","&amp;$A14&amp;",",","&amp;SUBSTITUTE(INDEX(Propuestas!$E$2:$E$35,33),", ",",")&amp;",")),"●","")</f>
        <v/>
      </c>
      <c r="AJ14" s="11" t="str">
        <f aca="false">IF(ISNUMBER(SEARCH(","&amp;$A14&amp;",",","&amp;SUBSTITUTE(INDEX(Propuestas!$E$2:$E$35,34),", ",",")&amp;",")),"●","")</f>
        <v>●</v>
      </c>
      <c r="AK14" s="10" t="n">
        <f aca="false">COUNTIF(C14:AJ14,"●")</f>
        <v>11</v>
      </c>
    </row>
    <row r="15" customFormat="false" ht="15" hidden="false" customHeight="false" outlineLevel="0" collapsed="false">
      <c r="A15" s="10" t="s">
        <v>426</v>
      </c>
      <c r="B15" s="10" t="n">
        <f aca="false">INDEX(Sindicatos!F:F,MATCH(A15,Sindicatos!A:A,0))</f>
        <v>3</v>
      </c>
      <c r="C15" s="11" t="str">
        <f aca="false">IF(ISNUMBER(SEARCH(","&amp;$A15&amp;",",","&amp;SUBSTITUTE(INDEX(Propuestas!$E$2:$E$35,1),", ",",")&amp;",")),"●","")</f>
        <v>●</v>
      </c>
      <c r="D15" s="11" t="str">
        <f aca="false">IF(ISNUMBER(SEARCH(","&amp;$A15&amp;",",","&amp;SUBSTITUTE(INDEX(Propuestas!$E$2:$E$35,2),", ",",")&amp;",")),"●","")</f>
        <v/>
      </c>
      <c r="E15" s="11" t="str">
        <f aca="false">IF(ISNUMBER(SEARCH(","&amp;$A15&amp;",",","&amp;SUBSTITUTE(INDEX(Propuestas!$E$2:$E$35,3),", ",",")&amp;",")),"●","")</f>
        <v/>
      </c>
      <c r="F15" s="11" t="str">
        <f aca="false">IF(ISNUMBER(SEARCH(","&amp;$A15&amp;",",","&amp;SUBSTITUTE(INDEX(Propuestas!$E$2:$E$35,4),", ",",")&amp;",")),"●","")</f>
        <v/>
      </c>
      <c r="G15" s="11" t="str">
        <f aca="false">IF(ISNUMBER(SEARCH(","&amp;$A15&amp;",",","&amp;SUBSTITUTE(INDEX(Propuestas!$E$2:$E$35,5),", ",",")&amp;",")),"●","")</f>
        <v/>
      </c>
      <c r="H15" s="11" t="str">
        <f aca="false">IF(ISNUMBER(SEARCH(","&amp;$A15&amp;",",","&amp;SUBSTITUTE(INDEX(Propuestas!$E$2:$E$35,6),", ",",")&amp;",")),"●","")</f>
        <v>●</v>
      </c>
      <c r="I15" s="11" t="str">
        <f aca="false">IF(ISNUMBER(SEARCH(","&amp;$A15&amp;",",","&amp;SUBSTITUTE(INDEX(Propuestas!$E$2:$E$35,7),", ",",")&amp;",")),"●","")</f>
        <v>●</v>
      </c>
      <c r="J15" s="11" t="str">
        <f aca="false">IF(ISNUMBER(SEARCH(","&amp;$A15&amp;",",","&amp;SUBSTITUTE(INDEX(Propuestas!$E$2:$E$35,8),", ",",")&amp;",")),"●","")</f>
        <v/>
      </c>
      <c r="K15" s="11" t="str">
        <f aca="false">IF(ISNUMBER(SEARCH(","&amp;$A15&amp;",",","&amp;SUBSTITUTE(INDEX(Propuestas!$E$2:$E$35,9),", ",",")&amp;",")),"●","")</f>
        <v/>
      </c>
      <c r="L15" s="11" t="str">
        <f aca="false">IF(ISNUMBER(SEARCH(","&amp;$A15&amp;",",","&amp;SUBSTITUTE(INDEX(Propuestas!$E$2:$E$35,10),", ",",")&amp;",")),"●","")</f>
        <v/>
      </c>
      <c r="M15" s="11" t="str">
        <f aca="false">IF(ISNUMBER(SEARCH(","&amp;$A15&amp;",",","&amp;SUBSTITUTE(INDEX(Propuestas!$E$2:$E$35,11),", ",",")&amp;",")),"●","")</f>
        <v>●</v>
      </c>
      <c r="N15" s="11" t="str">
        <f aca="false">IF(ISNUMBER(SEARCH(","&amp;$A15&amp;",",","&amp;SUBSTITUTE(INDEX(Propuestas!$E$2:$E$35,12),", ",",")&amp;",")),"●","")</f>
        <v>●</v>
      </c>
      <c r="O15" s="11" t="str">
        <f aca="false">IF(ISNUMBER(SEARCH(","&amp;$A15&amp;",",","&amp;SUBSTITUTE(INDEX(Propuestas!$E$2:$E$35,13),", ",",")&amp;",")),"●","")</f>
        <v/>
      </c>
      <c r="P15" s="11" t="str">
        <f aca="false">IF(ISNUMBER(SEARCH(","&amp;$A15&amp;",",","&amp;SUBSTITUTE(INDEX(Propuestas!$E$2:$E$35,14),", ",",")&amp;",")),"●","")</f>
        <v/>
      </c>
      <c r="Q15" s="11" t="str">
        <f aca="false">IF(ISNUMBER(SEARCH(","&amp;$A15&amp;",",","&amp;SUBSTITUTE(INDEX(Propuestas!$E$2:$E$35,15),", ",",")&amp;",")),"●","")</f>
        <v/>
      </c>
      <c r="R15" s="11" t="str">
        <f aca="false">IF(ISNUMBER(SEARCH(","&amp;$A15&amp;",",","&amp;SUBSTITUTE(INDEX(Propuestas!$E$2:$E$35,16),", ",",")&amp;",")),"●","")</f>
        <v>●</v>
      </c>
      <c r="S15" s="11" t="str">
        <f aca="false">IF(ISNUMBER(SEARCH(","&amp;$A15&amp;",",","&amp;SUBSTITUTE(INDEX(Propuestas!$E$2:$E$35,17),", ",",")&amp;",")),"●","")</f>
        <v/>
      </c>
      <c r="T15" s="11" t="str">
        <f aca="false">IF(ISNUMBER(SEARCH(","&amp;$A15&amp;",",","&amp;SUBSTITUTE(INDEX(Propuestas!$E$2:$E$35,18),", ",",")&amp;",")),"●","")</f>
        <v/>
      </c>
      <c r="U15" s="11" t="str">
        <f aca="false">IF(ISNUMBER(SEARCH(","&amp;$A15&amp;",",","&amp;SUBSTITUTE(INDEX(Propuestas!$E$2:$E$35,19),", ",",")&amp;",")),"●","")</f>
        <v/>
      </c>
      <c r="V15" s="11" t="str">
        <f aca="false">IF(ISNUMBER(SEARCH(","&amp;$A15&amp;",",","&amp;SUBSTITUTE(INDEX(Propuestas!$E$2:$E$35,20),", ",",")&amp;",")),"●","")</f>
        <v>●</v>
      </c>
      <c r="W15" s="11" t="str">
        <f aca="false">IF(ISNUMBER(SEARCH(","&amp;$A15&amp;",",","&amp;SUBSTITUTE(INDEX(Propuestas!$E$2:$E$35,21),", ",",")&amp;",")),"●","")</f>
        <v/>
      </c>
      <c r="X15" s="11" t="str">
        <f aca="false">IF(ISNUMBER(SEARCH(","&amp;$A15&amp;",",","&amp;SUBSTITUTE(INDEX(Propuestas!$E$2:$E$35,22),", ",",")&amp;",")),"●","")</f>
        <v>●</v>
      </c>
      <c r="Y15" s="11" t="str">
        <f aca="false">IF(ISNUMBER(SEARCH(","&amp;$A15&amp;",",","&amp;SUBSTITUTE(INDEX(Propuestas!$E$2:$E$35,23),", ",",")&amp;",")),"●","")</f>
        <v/>
      </c>
      <c r="Z15" s="11" t="str">
        <f aca="false">IF(ISNUMBER(SEARCH(","&amp;$A15&amp;",",","&amp;SUBSTITUTE(INDEX(Propuestas!$E$2:$E$35,24),", ",",")&amp;",")),"●","")</f>
        <v/>
      </c>
      <c r="AA15" s="11" t="str">
        <f aca="false">IF(ISNUMBER(SEARCH(","&amp;$A15&amp;",",","&amp;SUBSTITUTE(INDEX(Propuestas!$E$2:$E$35,25),", ",",")&amp;",")),"●","")</f>
        <v/>
      </c>
      <c r="AB15" s="11" t="str">
        <f aca="false">IF(ISNUMBER(SEARCH(","&amp;$A15&amp;",",","&amp;SUBSTITUTE(INDEX(Propuestas!$E$2:$E$35,26),", ",",")&amp;",")),"●","")</f>
        <v/>
      </c>
      <c r="AC15" s="11" t="str">
        <f aca="false">IF(ISNUMBER(SEARCH(","&amp;$A15&amp;",",","&amp;SUBSTITUTE(INDEX(Propuestas!$E$2:$E$35,27),", ",",")&amp;",")),"●","")</f>
        <v/>
      </c>
      <c r="AD15" s="11" t="str">
        <f aca="false">IF(ISNUMBER(SEARCH(","&amp;$A15&amp;",",","&amp;SUBSTITUTE(INDEX(Propuestas!$E$2:$E$35,28),", ",",")&amp;",")),"●","")</f>
        <v/>
      </c>
      <c r="AE15" s="11" t="str">
        <f aca="false">IF(ISNUMBER(SEARCH(","&amp;$A15&amp;",",","&amp;SUBSTITUTE(INDEX(Propuestas!$E$2:$E$35,29),", ",",")&amp;",")),"●","")</f>
        <v/>
      </c>
      <c r="AF15" s="11" t="str">
        <f aca="false">IF(ISNUMBER(SEARCH(","&amp;$A15&amp;",",","&amp;SUBSTITUTE(INDEX(Propuestas!$E$2:$E$35,30),", ",",")&amp;",")),"●","")</f>
        <v/>
      </c>
      <c r="AG15" s="11" t="str">
        <f aca="false">IF(ISNUMBER(SEARCH(","&amp;$A15&amp;",",","&amp;SUBSTITUTE(INDEX(Propuestas!$E$2:$E$35,31),", ",",")&amp;",")),"●","")</f>
        <v/>
      </c>
      <c r="AH15" s="11" t="str">
        <f aca="false">IF(ISNUMBER(SEARCH(","&amp;$A15&amp;",",","&amp;SUBSTITUTE(INDEX(Propuestas!$E$2:$E$35,32),", ",",")&amp;",")),"●","")</f>
        <v>●</v>
      </c>
      <c r="AI15" s="11" t="str">
        <f aca="false">IF(ISNUMBER(SEARCH(","&amp;$A15&amp;",",","&amp;SUBSTITUTE(INDEX(Propuestas!$E$2:$E$35,33),", ",",")&amp;",")),"●","")</f>
        <v/>
      </c>
      <c r="AJ15" s="11" t="str">
        <f aca="false">IF(ISNUMBER(SEARCH(","&amp;$A15&amp;",",","&amp;SUBSTITUTE(INDEX(Propuestas!$E$2:$E$35,34),", ",",")&amp;",")),"●","")</f>
        <v>●</v>
      </c>
      <c r="AK15" s="10" t="n">
        <f aca="false">COUNTIF(C15:AJ15,"●")</f>
        <v>10</v>
      </c>
    </row>
    <row r="16" customFormat="false" ht="15" hidden="false" customHeight="false" outlineLevel="0" collapsed="false">
      <c r="A16" s="10" t="s">
        <v>434</v>
      </c>
      <c r="B16" s="10" t="n">
        <f aca="false">INDEX(Sindicatos!F:F,MATCH(A16,Sindicatos!A:A,0))</f>
        <v>3</v>
      </c>
      <c r="C16" s="11" t="str">
        <f aca="false">IF(ISNUMBER(SEARCH(","&amp;$A16&amp;",",","&amp;SUBSTITUTE(INDEX(Propuestas!$E$2:$E$35,1),", ",",")&amp;",")),"●","")</f>
        <v/>
      </c>
      <c r="D16" s="11" t="str">
        <f aca="false">IF(ISNUMBER(SEARCH(","&amp;$A16&amp;",",","&amp;SUBSTITUTE(INDEX(Propuestas!$E$2:$E$35,2),", ",",")&amp;",")),"●","")</f>
        <v/>
      </c>
      <c r="E16" s="11" t="str">
        <f aca="false">IF(ISNUMBER(SEARCH(","&amp;$A16&amp;",",","&amp;SUBSTITUTE(INDEX(Propuestas!$E$2:$E$35,3),", ",",")&amp;",")),"●","")</f>
        <v/>
      </c>
      <c r="F16" s="11" t="str">
        <f aca="false">IF(ISNUMBER(SEARCH(","&amp;$A16&amp;",",","&amp;SUBSTITUTE(INDEX(Propuestas!$E$2:$E$35,4),", ",",")&amp;",")),"●","")</f>
        <v/>
      </c>
      <c r="G16" s="11" t="str">
        <f aca="false">IF(ISNUMBER(SEARCH(","&amp;$A16&amp;",",","&amp;SUBSTITUTE(INDEX(Propuestas!$E$2:$E$35,5),", ",",")&amp;",")),"●","")</f>
        <v/>
      </c>
      <c r="H16" s="11" t="str">
        <f aca="false">IF(ISNUMBER(SEARCH(","&amp;$A16&amp;",",","&amp;SUBSTITUTE(INDEX(Propuestas!$E$2:$E$35,6),", ",",")&amp;",")),"●","")</f>
        <v/>
      </c>
      <c r="I16" s="11" t="str">
        <f aca="false">IF(ISNUMBER(SEARCH(","&amp;$A16&amp;",",","&amp;SUBSTITUTE(INDEX(Propuestas!$E$2:$E$35,7),", ",",")&amp;",")),"●","")</f>
        <v/>
      </c>
      <c r="J16" s="11" t="str">
        <f aca="false">IF(ISNUMBER(SEARCH(","&amp;$A16&amp;",",","&amp;SUBSTITUTE(INDEX(Propuestas!$E$2:$E$35,8),", ",",")&amp;",")),"●","")</f>
        <v/>
      </c>
      <c r="K16" s="11" t="str">
        <f aca="false">IF(ISNUMBER(SEARCH(","&amp;$A16&amp;",",","&amp;SUBSTITUTE(INDEX(Propuestas!$E$2:$E$35,9),", ",",")&amp;",")),"●","")</f>
        <v/>
      </c>
      <c r="L16" s="11" t="str">
        <f aca="false">IF(ISNUMBER(SEARCH(","&amp;$A16&amp;",",","&amp;SUBSTITUTE(INDEX(Propuestas!$E$2:$E$35,10),", ",",")&amp;",")),"●","")</f>
        <v/>
      </c>
      <c r="M16" s="11" t="str">
        <f aca="false">IF(ISNUMBER(SEARCH(","&amp;$A16&amp;",",","&amp;SUBSTITUTE(INDEX(Propuestas!$E$2:$E$35,11),", ",",")&amp;",")),"●","")</f>
        <v>●</v>
      </c>
      <c r="N16" s="11" t="str">
        <f aca="false">IF(ISNUMBER(SEARCH(","&amp;$A16&amp;",",","&amp;SUBSTITUTE(INDEX(Propuestas!$E$2:$E$35,12),", ",",")&amp;",")),"●","")</f>
        <v/>
      </c>
      <c r="O16" s="11" t="str">
        <f aca="false">IF(ISNUMBER(SEARCH(","&amp;$A16&amp;",",","&amp;SUBSTITUTE(INDEX(Propuestas!$E$2:$E$35,13),", ",",")&amp;",")),"●","")</f>
        <v/>
      </c>
      <c r="P16" s="11" t="str">
        <f aca="false">IF(ISNUMBER(SEARCH(","&amp;$A16&amp;",",","&amp;SUBSTITUTE(INDEX(Propuestas!$E$2:$E$35,14),", ",",")&amp;",")),"●","")</f>
        <v/>
      </c>
      <c r="Q16" s="11" t="str">
        <f aca="false">IF(ISNUMBER(SEARCH(","&amp;$A16&amp;",",","&amp;SUBSTITUTE(INDEX(Propuestas!$E$2:$E$35,15),", ",",")&amp;",")),"●","")</f>
        <v/>
      </c>
      <c r="R16" s="11" t="str">
        <f aca="false">IF(ISNUMBER(SEARCH(","&amp;$A16&amp;",",","&amp;SUBSTITUTE(INDEX(Propuestas!$E$2:$E$35,16),", ",",")&amp;",")),"●","")</f>
        <v/>
      </c>
      <c r="S16" s="11" t="str">
        <f aca="false">IF(ISNUMBER(SEARCH(","&amp;$A16&amp;",",","&amp;SUBSTITUTE(INDEX(Propuestas!$E$2:$E$35,17),", ",",")&amp;",")),"●","")</f>
        <v/>
      </c>
      <c r="T16" s="11" t="str">
        <f aca="false">IF(ISNUMBER(SEARCH(","&amp;$A16&amp;",",","&amp;SUBSTITUTE(INDEX(Propuestas!$E$2:$E$35,18),", ",",")&amp;",")),"●","")</f>
        <v>●</v>
      </c>
      <c r="U16" s="11" t="str">
        <f aca="false">IF(ISNUMBER(SEARCH(","&amp;$A16&amp;",",","&amp;SUBSTITUTE(INDEX(Propuestas!$E$2:$E$35,19),", ",",")&amp;",")),"●","")</f>
        <v/>
      </c>
      <c r="V16" s="11" t="str">
        <f aca="false">IF(ISNUMBER(SEARCH(","&amp;$A16&amp;",",","&amp;SUBSTITUTE(INDEX(Propuestas!$E$2:$E$35,20),", ",",")&amp;",")),"●","")</f>
        <v>●</v>
      </c>
      <c r="W16" s="11" t="str">
        <f aca="false">IF(ISNUMBER(SEARCH(","&amp;$A16&amp;",",","&amp;SUBSTITUTE(INDEX(Propuestas!$E$2:$E$35,21),", ",",")&amp;",")),"●","")</f>
        <v/>
      </c>
      <c r="X16" s="11" t="str">
        <f aca="false">IF(ISNUMBER(SEARCH(","&amp;$A16&amp;",",","&amp;SUBSTITUTE(INDEX(Propuestas!$E$2:$E$35,22),", ",",")&amp;",")),"●","")</f>
        <v>●</v>
      </c>
      <c r="Y16" s="11" t="str">
        <f aca="false">IF(ISNUMBER(SEARCH(","&amp;$A16&amp;",",","&amp;SUBSTITUTE(INDEX(Propuestas!$E$2:$E$35,23),", ",",")&amp;",")),"●","")</f>
        <v/>
      </c>
      <c r="Z16" s="11" t="str">
        <f aca="false">IF(ISNUMBER(SEARCH(","&amp;$A16&amp;",",","&amp;SUBSTITUTE(INDEX(Propuestas!$E$2:$E$35,24),", ",",")&amp;",")),"●","")</f>
        <v/>
      </c>
      <c r="AA16" s="11" t="str">
        <f aca="false">IF(ISNUMBER(SEARCH(","&amp;$A16&amp;",",","&amp;SUBSTITUTE(INDEX(Propuestas!$E$2:$E$35,25),", ",",")&amp;",")),"●","")</f>
        <v/>
      </c>
      <c r="AB16" s="11" t="str">
        <f aca="false">IF(ISNUMBER(SEARCH(","&amp;$A16&amp;",",","&amp;SUBSTITUTE(INDEX(Propuestas!$E$2:$E$35,26),", ",",")&amp;",")),"●","")</f>
        <v/>
      </c>
      <c r="AC16" s="11" t="str">
        <f aca="false">IF(ISNUMBER(SEARCH(","&amp;$A16&amp;",",","&amp;SUBSTITUTE(INDEX(Propuestas!$E$2:$E$35,27),", ",",")&amp;",")),"●","")</f>
        <v/>
      </c>
      <c r="AD16" s="11" t="str">
        <f aca="false">IF(ISNUMBER(SEARCH(","&amp;$A16&amp;",",","&amp;SUBSTITUTE(INDEX(Propuestas!$E$2:$E$35,28),", ",",")&amp;",")),"●","")</f>
        <v>●</v>
      </c>
      <c r="AE16" s="11" t="str">
        <f aca="false">IF(ISNUMBER(SEARCH(","&amp;$A16&amp;",",","&amp;SUBSTITUTE(INDEX(Propuestas!$E$2:$E$35,29),", ",",")&amp;",")),"●","")</f>
        <v/>
      </c>
      <c r="AF16" s="11" t="str">
        <f aca="false">IF(ISNUMBER(SEARCH(","&amp;$A16&amp;",",","&amp;SUBSTITUTE(INDEX(Propuestas!$E$2:$E$35,30),", ",",")&amp;",")),"●","")</f>
        <v/>
      </c>
      <c r="AG16" s="11" t="str">
        <f aca="false">IF(ISNUMBER(SEARCH(","&amp;$A16&amp;",",","&amp;SUBSTITUTE(INDEX(Propuestas!$E$2:$E$35,31),", ",",")&amp;",")),"●","")</f>
        <v/>
      </c>
      <c r="AH16" s="11" t="str">
        <f aca="false">IF(ISNUMBER(SEARCH(","&amp;$A16&amp;",",","&amp;SUBSTITUTE(INDEX(Propuestas!$E$2:$E$35,32),", ",",")&amp;",")),"●","")</f>
        <v/>
      </c>
      <c r="AI16" s="11" t="str">
        <f aca="false">IF(ISNUMBER(SEARCH(","&amp;$A16&amp;",",","&amp;SUBSTITUTE(INDEX(Propuestas!$E$2:$E$35,33),", ",",")&amp;",")),"●","")</f>
        <v/>
      </c>
      <c r="AJ16" s="11" t="str">
        <f aca="false">IF(ISNUMBER(SEARCH(","&amp;$A16&amp;",",","&amp;SUBSTITUTE(INDEX(Propuestas!$E$2:$E$35,34),", ",",")&amp;",")),"●","")</f>
        <v/>
      </c>
      <c r="AK16" s="10" t="n">
        <f aca="false">COUNTIF(C16:AJ16,"●")</f>
        <v>5</v>
      </c>
    </row>
    <row r="17" customFormat="false" ht="15" hidden="false" customHeight="false" outlineLevel="0" collapsed="false">
      <c r="A17" s="10" t="s">
        <v>443</v>
      </c>
      <c r="B17" s="10" t="n">
        <f aca="false">INDEX(Sindicatos!F:F,MATCH(A17,Sindicatos!A:A,0))</f>
        <v>3</v>
      </c>
      <c r="C17" s="11" t="str">
        <f aca="false">IF(ISNUMBER(SEARCH(","&amp;$A17&amp;",",","&amp;SUBSTITUTE(INDEX(Propuestas!$E$2:$E$35,1),", ",",")&amp;",")),"●","")</f>
        <v/>
      </c>
      <c r="D17" s="11" t="str">
        <f aca="false">IF(ISNUMBER(SEARCH(","&amp;$A17&amp;",",","&amp;SUBSTITUTE(INDEX(Propuestas!$E$2:$E$35,2),", ",",")&amp;",")),"●","")</f>
        <v/>
      </c>
      <c r="E17" s="11" t="str">
        <f aca="false">IF(ISNUMBER(SEARCH(","&amp;$A17&amp;",",","&amp;SUBSTITUTE(INDEX(Propuestas!$E$2:$E$35,3),", ",",")&amp;",")),"●","")</f>
        <v/>
      </c>
      <c r="F17" s="11" t="str">
        <f aca="false">IF(ISNUMBER(SEARCH(","&amp;$A17&amp;",",","&amp;SUBSTITUTE(INDEX(Propuestas!$E$2:$E$35,4),", ",",")&amp;",")),"●","")</f>
        <v/>
      </c>
      <c r="G17" s="11" t="str">
        <f aca="false">IF(ISNUMBER(SEARCH(","&amp;$A17&amp;",",","&amp;SUBSTITUTE(INDEX(Propuestas!$E$2:$E$35,5),", ",",")&amp;",")),"●","")</f>
        <v/>
      </c>
      <c r="H17" s="11" t="str">
        <f aca="false">IF(ISNUMBER(SEARCH(","&amp;$A17&amp;",",","&amp;SUBSTITUTE(INDEX(Propuestas!$E$2:$E$35,6),", ",",")&amp;",")),"●","")</f>
        <v/>
      </c>
      <c r="I17" s="11" t="str">
        <f aca="false">IF(ISNUMBER(SEARCH(","&amp;$A17&amp;",",","&amp;SUBSTITUTE(INDEX(Propuestas!$E$2:$E$35,7),", ",",")&amp;",")),"●","")</f>
        <v/>
      </c>
      <c r="J17" s="11" t="str">
        <f aca="false">IF(ISNUMBER(SEARCH(","&amp;$A17&amp;",",","&amp;SUBSTITUTE(INDEX(Propuestas!$E$2:$E$35,8),", ",",")&amp;",")),"●","")</f>
        <v>●</v>
      </c>
      <c r="K17" s="11" t="str">
        <f aca="false">IF(ISNUMBER(SEARCH(","&amp;$A17&amp;",",","&amp;SUBSTITUTE(INDEX(Propuestas!$E$2:$E$35,9),", ",",")&amp;",")),"●","")</f>
        <v/>
      </c>
      <c r="L17" s="11" t="str">
        <f aca="false">IF(ISNUMBER(SEARCH(","&amp;$A17&amp;",",","&amp;SUBSTITUTE(INDEX(Propuestas!$E$2:$E$35,10),", ",",")&amp;",")),"●","")</f>
        <v/>
      </c>
      <c r="M17" s="11" t="str">
        <f aca="false">IF(ISNUMBER(SEARCH(","&amp;$A17&amp;",",","&amp;SUBSTITUTE(INDEX(Propuestas!$E$2:$E$35,11),", ",",")&amp;",")),"●","")</f>
        <v/>
      </c>
      <c r="N17" s="11" t="str">
        <f aca="false">IF(ISNUMBER(SEARCH(","&amp;$A17&amp;",",","&amp;SUBSTITUTE(INDEX(Propuestas!$E$2:$E$35,12),", ",",")&amp;",")),"●","")</f>
        <v/>
      </c>
      <c r="O17" s="11" t="str">
        <f aca="false">IF(ISNUMBER(SEARCH(","&amp;$A17&amp;",",","&amp;SUBSTITUTE(INDEX(Propuestas!$E$2:$E$35,13),", ",",")&amp;",")),"●","")</f>
        <v>●</v>
      </c>
      <c r="P17" s="11" t="str">
        <f aca="false">IF(ISNUMBER(SEARCH(","&amp;$A17&amp;",",","&amp;SUBSTITUTE(INDEX(Propuestas!$E$2:$E$35,14),", ",",")&amp;",")),"●","")</f>
        <v/>
      </c>
      <c r="Q17" s="11" t="str">
        <f aca="false">IF(ISNUMBER(SEARCH(","&amp;$A17&amp;",",","&amp;SUBSTITUTE(INDEX(Propuestas!$E$2:$E$35,15),", ",",")&amp;",")),"●","")</f>
        <v/>
      </c>
      <c r="R17" s="11" t="str">
        <f aca="false">IF(ISNUMBER(SEARCH(","&amp;$A17&amp;",",","&amp;SUBSTITUTE(INDEX(Propuestas!$E$2:$E$35,16),", ",",")&amp;",")),"●","")</f>
        <v/>
      </c>
      <c r="S17" s="11" t="str">
        <f aca="false">IF(ISNUMBER(SEARCH(","&amp;$A17&amp;",",","&amp;SUBSTITUTE(INDEX(Propuestas!$E$2:$E$35,17),", ",",")&amp;",")),"●","")</f>
        <v/>
      </c>
      <c r="T17" s="11" t="str">
        <f aca="false">IF(ISNUMBER(SEARCH(","&amp;$A17&amp;",",","&amp;SUBSTITUTE(INDEX(Propuestas!$E$2:$E$35,18),", ",",")&amp;",")),"●","")</f>
        <v/>
      </c>
      <c r="U17" s="11" t="str">
        <f aca="false">IF(ISNUMBER(SEARCH(","&amp;$A17&amp;",",","&amp;SUBSTITUTE(INDEX(Propuestas!$E$2:$E$35,19),", ",",")&amp;",")),"●","")</f>
        <v/>
      </c>
      <c r="V17" s="11" t="str">
        <f aca="false">IF(ISNUMBER(SEARCH(","&amp;$A17&amp;",",","&amp;SUBSTITUTE(INDEX(Propuestas!$E$2:$E$35,20),", ",",")&amp;",")),"●","")</f>
        <v>●</v>
      </c>
      <c r="W17" s="11" t="str">
        <f aca="false">IF(ISNUMBER(SEARCH(","&amp;$A17&amp;",",","&amp;SUBSTITUTE(INDEX(Propuestas!$E$2:$E$35,21),", ",",")&amp;",")),"●","")</f>
        <v/>
      </c>
      <c r="X17" s="11" t="str">
        <f aca="false">IF(ISNUMBER(SEARCH(","&amp;$A17&amp;",",","&amp;SUBSTITUTE(INDEX(Propuestas!$E$2:$E$35,22),", ",",")&amp;",")),"●","")</f>
        <v/>
      </c>
      <c r="Y17" s="11" t="str">
        <f aca="false">IF(ISNUMBER(SEARCH(","&amp;$A17&amp;",",","&amp;SUBSTITUTE(INDEX(Propuestas!$E$2:$E$35,23),", ",",")&amp;",")),"●","")</f>
        <v/>
      </c>
      <c r="Z17" s="11" t="str">
        <f aca="false">IF(ISNUMBER(SEARCH(","&amp;$A17&amp;",",","&amp;SUBSTITUTE(INDEX(Propuestas!$E$2:$E$35,24),", ",",")&amp;",")),"●","")</f>
        <v/>
      </c>
      <c r="AA17" s="11" t="str">
        <f aca="false">IF(ISNUMBER(SEARCH(","&amp;$A17&amp;",",","&amp;SUBSTITUTE(INDEX(Propuestas!$E$2:$E$35,25),", ",",")&amp;",")),"●","")</f>
        <v>●</v>
      </c>
      <c r="AB17" s="11" t="str">
        <f aca="false">IF(ISNUMBER(SEARCH(","&amp;$A17&amp;",",","&amp;SUBSTITUTE(INDEX(Propuestas!$E$2:$E$35,26),", ",",")&amp;",")),"●","")</f>
        <v/>
      </c>
      <c r="AC17" s="11" t="str">
        <f aca="false">IF(ISNUMBER(SEARCH(","&amp;$A17&amp;",",","&amp;SUBSTITUTE(INDEX(Propuestas!$E$2:$E$35,27),", ",",")&amp;",")),"●","")</f>
        <v/>
      </c>
      <c r="AD17" s="11" t="str">
        <f aca="false">IF(ISNUMBER(SEARCH(","&amp;$A17&amp;",",","&amp;SUBSTITUTE(INDEX(Propuestas!$E$2:$E$35,28),", ",",")&amp;",")),"●","")</f>
        <v/>
      </c>
      <c r="AE17" s="11" t="str">
        <f aca="false">IF(ISNUMBER(SEARCH(","&amp;$A17&amp;",",","&amp;SUBSTITUTE(INDEX(Propuestas!$E$2:$E$35,29),", ",",")&amp;",")),"●","")</f>
        <v>●</v>
      </c>
      <c r="AF17" s="11" t="str">
        <f aca="false">IF(ISNUMBER(SEARCH(","&amp;$A17&amp;",",","&amp;SUBSTITUTE(INDEX(Propuestas!$E$2:$E$35,30),", ",",")&amp;",")),"●","")</f>
        <v/>
      </c>
      <c r="AG17" s="11" t="str">
        <f aca="false">IF(ISNUMBER(SEARCH(","&amp;$A17&amp;",",","&amp;SUBSTITUTE(INDEX(Propuestas!$E$2:$E$35,31),", ",",")&amp;",")),"●","")</f>
        <v/>
      </c>
      <c r="AH17" s="11" t="str">
        <f aca="false">IF(ISNUMBER(SEARCH(","&amp;$A17&amp;",",","&amp;SUBSTITUTE(INDEX(Propuestas!$E$2:$E$35,32),", ",",")&amp;",")),"●","")</f>
        <v/>
      </c>
      <c r="AI17" s="11" t="str">
        <f aca="false">IF(ISNUMBER(SEARCH(","&amp;$A17&amp;",",","&amp;SUBSTITUTE(INDEX(Propuestas!$E$2:$E$35,33),", ",",")&amp;",")),"●","")</f>
        <v>●</v>
      </c>
      <c r="AJ17" s="11" t="str">
        <f aca="false">IF(ISNUMBER(SEARCH(","&amp;$A17&amp;",",","&amp;SUBSTITUTE(INDEX(Propuestas!$E$2:$E$35,34),", ",",")&amp;",")),"●","")</f>
        <v/>
      </c>
      <c r="AK17" s="10" t="n">
        <f aca="false">COUNTIF(C17:AJ17,"●")</f>
        <v>6</v>
      </c>
    </row>
    <row r="18" customFormat="false" ht="15" hidden="false" customHeight="false" outlineLevel="0" collapsed="false">
      <c r="A18" s="10" t="s">
        <v>451</v>
      </c>
      <c r="B18" s="10" t="n">
        <f aca="false">INDEX(Sindicatos!F:F,MATCH(A18,Sindicatos!A:A,0))</f>
        <v>3</v>
      </c>
      <c r="C18" s="11" t="str">
        <f aca="false">IF(ISNUMBER(SEARCH(","&amp;$A18&amp;",",","&amp;SUBSTITUTE(INDEX(Propuestas!$E$2:$E$35,1),", ",",")&amp;",")),"●","")</f>
        <v/>
      </c>
      <c r="D18" s="11" t="str">
        <f aca="false">IF(ISNUMBER(SEARCH(","&amp;$A18&amp;",",","&amp;SUBSTITUTE(INDEX(Propuestas!$E$2:$E$35,2),", ",",")&amp;",")),"●","")</f>
        <v/>
      </c>
      <c r="E18" s="11" t="str">
        <f aca="false">IF(ISNUMBER(SEARCH(","&amp;$A18&amp;",",","&amp;SUBSTITUTE(INDEX(Propuestas!$E$2:$E$35,3),", ",",")&amp;",")),"●","")</f>
        <v>●</v>
      </c>
      <c r="F18" s="11" t="str">
        <f aca="false">IF(ISNUMBER(SEARCH(","&amp;$A18&amp;",",","&amp;SUBSTITUTE(INDEX(Propuestas!$E$2:$E$35,4),", ",",")&amp;",")),"●","")</f>
        <v/>
      </c>
      <c r="G18" s="11" t="str">
        <f aca="false">IF(ISNUMBER(SEARCH(","&amp;$A18&amp;",",","&amp;SUBSTITUTE(INDEX(Propuestas!$E$2:$E$35,5),", ",",")&amp;",")),"●","")</f>
        <v/>
      </c>
      <c r="H18" s="11" t="str">
        <f aca="false">IF(ISNUMBER(SEARCH(","&amp;$A18&amp;",",","&amp;SUBSTITUTE(INDEX(Propuestas!$E$2:$E$35,6),", ",",")&amp;",")),"●","")</f>
        <v/>
      </c>
      <c r="I18" s="11" t="str">
        <f aca="false">IF(ISNUMBER(SEARCH(","&amp;$A18&amp;",",","&amp;SUBSTITUTE(INDEX(Propuestas!$E$2:$E$35,7),", ",",")&amp;",")),"●","")</f>
        <v/>
      </c>
      <c r="J18" s="11" t="str">
        <f aca="false">IF(ISNUMBER(SEARCH(","&amp;$A18&amp;",",","&amp;SUBSTITUTE(INDEX(Propuestas!$E$2:$E$35,8),", ",",")&amp;",")),"●","")</f>
        <v/>
      </c>
      <c r="K18" s="11" t="str">
        <f aca="false">IF(ISNUMBER(SEARCH(","&amp;$A18&amp;",",","&amp;SUBSTITUTE(INDEX(Propuestas!$E$2:$E$35,9),", ",",")&amp;",")),"●","")</f>
        <v/>
      </c>
      <c r="L18" s="11" t="str">
        <f aca="false">IF(ISNUMBER(SEARCH(","&amp;$A18&amp;",",","&amp;SUBSTITUTE(INDEX(Propuestas!$E$2:$E$35,10),", ",",")&amp;",")),"●","")</f>
        <v>●</v>
      </c>
      <c r="M18" s="11" t="str">
        <f aca="false">IF(ISNUMBER(SEARCH(","&amp;$A18&amp;",",","&amp;SUBSTITUTE(INDEX(Propuestas!$E$2:$E$35,11),", ",",")&amp;",")),"●","")</f>
        <v/>
      </c>
      <c r="N18" s="11" t="str">
        <f aca="false">IF(ISNUMBER(SEARCH(","&amp;$A18&amp;",",","&amp;SUBSTITUTE(INDEX(Propuestas!$E$2:$E$35,12),", ",",")&amp;",")),"●","")</f>
        <v>●</v>
      </c>
      <c r="O18" s="11" t="str">
        <f aca="false">IF(ISNUMBER(SEARCH(","&amp;$A18&amp;",",","&amp;SUBSTITUTE(INDEX(Propuestas!$E$2:$E$35,13),", ",",")&amp;",")),"●","")</f>
        <v>●</v>
      </c>
      <c r="P18" s="11" t="str">
        <f aca="false">IF(ISNUMBER(SEARCH(","&amp;$A18&amp;",",","&amp;SUBSTITUTE(INDEX(Propuestas!$E$2:$E$35,14),", ",",")&amp;",")),"●","")</f>
        <v/>
      </c>
      <c r="Q18" s="11" t="str">
        <f aca="false">IF(ISNUMBER(SEARCH(","&amp;$A18&amp;",",","&amp;SUBSTITUTE(INDEX(Propuestas!$E$2:$E$35,15),", ",",")&amp;",")),"●","")</f>
        <v>●</v>
      </c>
      <c r="R18" s="11" t="str">
        <f aca="false">IF(ISNUMBER(SEARCH(","&amp;$A18&amp;",",","&amp;SUBSTITUTE(INDEX(Propuestas!$E$2:$E$35,16),", ",",")&amp;",")),"●","")</f>
        <v/>
      </c>
      <c r="S18" s="11" t="str">
        <f aca="false">IF(ISNUMBER(SEARCH(","&amp;$A18&amp;",",","&amp;SUBSTITUTE(INDEX(Propuestas!$E$2:$E$35,17),", ",",")&amp;",")),"●","")</f>
        <v>●</v>
      </c>
      <c r="T18" s="11" t="str">
        <f aca="false">IF(ISNUMBER(SEARCH(","&amp;$A18&amp;",",","&amp;SUBSTITUTE(INDEX(Propuestas!$E$2:$E$35,18),", ",",")&amp;",")),"●","")</f>
        <v/>
      </c>
      <c r="U18" s="11" t="str">
        <f aca="false">IF(ISNUMBER(SEARCH(","&amp;$A18&amp;",",","&amp;SUBSTITUTE(INDEX(Propuestas!$E$2:$E$35,19),", ",",")&amp;",")),"●","")</f>
        <v>●</v>
      </c>
      <c r="V18" s="11" t="str">
        <f aca="false">IF(ISNUMBER(SEARCH(","&amp;$A18&amp;",",","&amp;SUBSTITUTE(INDEX(Propuestas!$E$2:$E$35,20),", ",",")&amp;",")),"●","")</f>
        <v>●</v>
      </c>
      <c r="W18" s="11" t="str">
        <f aca="false">IF(ISNUMBER(SEARCH(","&amp;$A18&amp;",",","&amp;SUBSTITUTE(INDEX(Propuestas!$E$2:$E$35,21),", ",",")&amp;",")),"●","")</f>
        <v/>
      </c>
      <c r="X18" s="11" t="str">
        <f aca="false">IF(ISNUMBER(SEARCH(","&amp;$A18&amp;",",","&amp;SUBSTITUTE(INDEX(Propuestas!$E$2:$E$35,22),", ",",")&amp;",")),"●","")</f>
        <v>●</v>
      </c>
      <c r="Y18" s="11" t="str">
        <f aca="false">IF(ISNUMBER(SEARCH(","&amp;$A18&amp;",",","&amp;SUBSTITUTE(INDEX(Propuestas!$E$2:$E$35,23),", ",",")&amp;",")),"●","")</f>
        <v/>
      </c>
      <c r="Z18" s="11" t="str">
        <f aca="false">IF(ISNUMBER(SEARCH(","&amp;$A18&amp;",",","&amp;SUBSTITUTE(INDEX(Propuestas!$E$2:$E$35,24),", ",",")&amp;",")),"●","")</f>
        <v/>
      </c>
      <c r="AA18" s="11" t="str">
        <f aca="false">IF(ISNUMBER(SEARCH(","&amp;$A18&amp;",",","&amp;SUBSTITUTE(INDEX(Propuestas!$E$2:$E$35,25),", ",",")&amp;",")),"●","")</f>
        <v>●</v>
      </c>
      <c r="AB18" s="11" t="str">
        <f aca="false">IF(ISNUMBER(SEARCH(","&amp;$A18&amp;",",","&amp;SUBSTITUTE(INDEX(Propuestas!$E$2:$E$35,26),", ",",")&amp;",")),"●","")</f>
        <v>●</v>
      </c>
      <c r="AC18" s="11" t="str">
        <f aca="false">IF(ISNUMBER(SEARCH(","&amp;$A18&amp;",",","&amp;SUBSTITUTE(INDEX(Propuestas!$E$2:$E$35,27),", ",",")&amp;",")),"●","")</f>
        <v/>
      </c>
      <c r="AD18" s="11" t="str">
        <f aca="false">IF(ISNUMBER(SEARCH(","&amp;$A18&amp;",",","&amp;SUBSTITUTE(INDEX(Propuestas!$E$2:$E$35,28),", ",",")&amp;",")),"●","")</f>
        <v/>
      </c>
      <c r="AE18" s="11" t="str">
        <f aca="false">IF(ISNUMBER(SEARCH(","&amp;$A18&amp;",",","&amp;SUBSTITUTE(INDEX(Propuestas!$E$2:$E$35,29),", ",",")&amp;",")),"●","")</f>
        <v>●</v>
      </c>
      <c r="AF18" s="11" t="str">
        <f aca="false">IF(ISNUMBER(SEARCH(","&amp;$A18&amp;",",","&amp;SUBSTITUTE(INDEX(Propuestas!$E$2:$E$35,30),", ",",")&amp;",")),"●","")</f>
        <v>●</v>
      </c>
      <c r="AG18" s="11" t="str">
        <f aca="false">IF(ISNUMBER(SEARCH(","&amp;$A18&amp;",",","&amp;SUBSTITUTE(INDEX(Propuestas!$E$2:$E$35,31),", ",",")&amp;",")),"●","")</f>
        <v/>
      </c>
      <c r="AH18" s="11" t="str">
        <f aca="false">IF(ISNUMBER(SEARCH(","&amp;$A18&amp;",",","&amp;SUBSTITUTE(INDEX(Propuestas!$E$2:$E$35,32),", ",",")&amp;",")),"●","")</f>
        <v/>
      </c>
      <c r="AI18" s="11" t="str">
        <f aca="false">IF(ISNUMBER(SEARCH(","&amp;$A18&amp;",",","&amp;SUBSTITUTE(INDEX(Propuestas!$E$2:$E$35,33),", ",",")&amp;",")),"●","")</f>
        <v/>
      </c>
      <c r="AJ18" s="11" t="str">
        <f aca="false">IF(ISNUMBER(SEARCH(","&amp;$A18&amp;",",","&amp;SUBSTITUTE(INDEX(Propuestas!$E$2:$E$35,34),", ",",")&amp;",")),"●","")</f>
        <v/>
      </c>
      <c r="AK18" s="10" t="n">
        <f aca="false">COUNTIF(C18:AJ18,"●")</f>
        <v>13</v>
      </c>
    </row>
    <row r="19" customFormat="false" ht="15" hidden="false" customHeight="false" outlineLevel="0" collapsed="false">
      <c r="A19" s="10" t="s">
        <v>460</v>
      </c>
      <c r="B19" s="10" t="n">
        <f aca="false">INDEX(Sindicatos!F:F,MATCH(A19,Sindicatos!A:A,0))</f>
        <v>3</v>
      </c>
      <c r="C19" s="11" t="str">
        <f aca="false">IF(ISNUMBER(SEARCH(","&amp;$A19&amp;",",","&amp;SUBSTITUTE(INDEX(Propuestas!$E$2:$E$35,1),", ",",")&amp;",")),"●","")</f>
        <v/>
      </c>
      <c r="D19" s="11" t="str">
        <f aca="false">IF(ISNUMBER(SEARCH(","&amp;$A19&amp;",",","&amp;SUBSTITUTE(INDEX(Propuestas!$E$2:$E$35,2),", ",",")&amp;",")),"●","")</f>
        <v>●</v>
      </c>
      <c r="E19" s="11" t="str">
        <f aca="false">IF(ISNUMBER(SEARCH(","&amp;$A19&amp;",",","&amp;SUBSTITUTE(INDEX(Propuestas!$E$2:$E$35,3),", ",",")&amp;",")),"●","")</f>
        <v>●</v>
      </c>
      <c r="F19" s="11" t="str">
        <f aca="false">IF(ISNUMBER(SEARCH(","&amp;$A19&amp;",",","&amp;SUBSTITUTE(INDEX(Propuestas!$E$2:$E$35,4),", ",",")&amp;",")),"●","")</f>
        <v>●</v>
      </c>
      <c r="G19" s="11" t="str">
        <f aca="false">IF(ISNUMBER(SEARCH(","&amp;$A19&amp;",",","&amp;SUBSTITUTE(INDEX(Propuestas!$E$2:$E$35,5),", ",",")&amp;",")),"●","")</f>
        <v/>
      </c>
      <c r="H19" s="11" t="str">
        <f aca="false">IF(ISNUMBER(SEARCH(","&amp;$A19&amp;",",","&amp;SUBSTITUTE(INDEX(Propuestas!$E$2:$E$35,6),", ",",")&amp;",")),"●","")</f>
        <v/>
      </c>
      <c r="I19" s="11" t="str">
        <f aca="false">IF(ISNUMBER(SEARCH(","&amp;$A19&amp;",",","&amp;SUBSTITUTE(INDEX(Propuestas!$E$2:$E$35,7),", ",",")&amp;",")),"●","")</f>
        <v/>
      </c>
      <c r="J19" s="11" t="str">
        <f aca="false">IF(ISNUMBER(SEARCH(","&amp;$A19&amp;",",","&amp;SUBSTITUTE(INDEX(Propuestas!$E$2:$E$35,8),", ",",")&amp;",")),"●","")</f>
        <v>●</v>
      </c>
      <c r="K19" s="11" t="str">
        <f aca="false">IF(ISNUMBER(SEARCH(","&amp;$A19&amp;",",","&amp;SUBSTITUTE(INDEX(Propuestas!$E$2:$E$35,9),", ",",")&amp;",")),"●","")</f>
        <v>●</v>
      </c>
      <c r="L19" s="11" t="str">
        <f aca="false">IF(ISNUMBER(SEARCH(","&amp;$A19&amp;",",","&amp;SUBSTITUTE(INDEX(Propuestas!$E$2:$E$35,10),", ",",")&amp;",")),"●","")</f>
        <v/>
      </c>
      <c r="M19" s="11" t="str">
        <f aca="false">IF(ISNUMBER(SEARCH(","&amp;$A19&amp;",",","&amp;SUBSTITUTE(INDEX(Propuestas!$E$2:$E$35,11),", ",",")&amp;",")),"●","")</f>
        <v/>
      </c>
      <c r="N19" s="11" t="str">
        <f aca="false">IF(ISNUMBER(SEARCH(","&amp;$A19&amp;",",","&amp;SUBSTITUTE(INDEX(Propuestas!$E$2:$E$35,12),", ",",")&amp;",")),"●","")</f>
        <v>●</v>
      </c>
      <c r="O19" s="11" t="str">
        <f aca="false">IF(ISNUMBER(SEARCH(","&amp;$A19&amp;",",","&amp;SUBSTITUTE(INDEX(Propuestas!$E$2:$E$35,13),", ",",")&amp;",")),"●","")</f>
        <v>●</v>
      </c>
      <c r="P19" s="11" t="str">
        <f aca="false">IF(ISNUMBER(SEARCH(","&amp;$A19&amp;",",","&amp;SUBSTITUTE(INDEX(Propuestas!$E$2:$E$35,14),", ",",")&amp;",")),"●","")</f>
        <v/>
      </c>
      <c r="Q19" s="11" t="str">
        <f aca="false">IF(ISNUMBER(SEARCH(","&amp;$A19&amp;",",","&amp;SUBSTITUTE(INDEX(Propuestas!$E$2:$E$35,15),", ",",")&amp;",")),"●","")</f>
        <v>●</v>
      </c>
      <c r="R19" s="11" t="str">
        <f aca="false">IF(ISNUMBER(SEARCH(","&amp;$A19&amp;",",","&amp;SUBSTITUTE(INDEX(Propuestas!$E$2:$E$35,16),", ",",")&amp;",")),"●","")</f>
        <v/>
      </c>
      <c r="S19" s="11" t="str">
        <f aca="false">IF(ISNUMBER(SEARCH(","&amp;$A19&amp;",",","&amp;SUBSTITUTE(INDEX(Propuestas!$E$2:$E$35,17),", ",",")&amp;",")),"●","")</f>
        <v/>
      </c>
      <c r="T19" s="11" t="str">
        <f aca="false">IF(ISNUMBER(SEARCH(","&amp;$A19&amp;",",","&amp;SUBSTITUTE(INDEX(Propuestas!$E$2:$E$35,18),", ",",")&amp;",")),"●","")</f>
        <v/>
      </c>
      <c r="U19" s="11" t="str">
        <f aca="false">IF(ISNUMBER(SEARCH(","&amp;$A19&amp;",",","&amp;SUBSTITUTE(INDEX(Propuestas!$E$2:$E$35,19),", ",",")&amp;",")),"●","")</f>
        <v/>
      </c>
      <c r="V19" s="11" t="str">
        <f aca="false">IF(ISNUMBER(SEARCH(","&amp;$A19&amp;",",","&amp;SUBSTITUTE(INDEX(Propuestas!$E$2:$E$35,20),", ",",")&amp;",")),"●","")</f>
        <v>●</v>
      </c>
      <c r="W19" s="11" t="str">
        <f aca="false">IF(ISNUMBER(SEARCH(","&amp;$A19&amp;",",","&amp;SUBSTITUTE(INDEX(Propuestas!$E$2:$E$35,21),", ",",")&amp;",")),"●","")</f>
        <v/>
      </c>
      <c r="X19" s="11" t="str">
        <f aca="false">IF(ISNUMBER(SEARCH(","&amp;$A19&amp;",",","&amp;SUBSTITUTE(INDEX(Propuestas!$E$2:$E$35,22),", ",",")&amp;",")),"●","")</f>
        <v>●</v>
      </c>
      <c r="Y19" s="11" t="str">
        <f aca="false">IF(ISNUMBER(SEARCH(","&amp;$A19&amp;",",","&amp;SUBSTITUTE(INDEX(Propuestas!$E$2:$E$35,23),", ",",")&amp;",")),"●","")</f>
        <v/>
      </c>
      <c r="Z19" s="11" t="str">
        <f aca="false">IF(ISNUMBER(SEARCH(","&amp;$A19&amp;",",","&amp;SUBSTITUTE(INDEX(Propuestas!$E$2:$E$35,24),", ",",")&amp;",")),"●","")</f>
        <v/>
      </c>
      <c r="AA19" s="11" t="str">
        <f aca="false">IF(ISNUMBER(SEARCH(","&amp;$A19&amp;",",","&amp;SUBSTITUTE(INDEX(Propuestas!$E$2:$E$35,25),", ",",")&amp;",")),"●","")</f>
        <v/>
      </c>
      <c r="AB19" s="11" t="str">
        <f aca="false">IF(ISNUMBER(SEARCH(","&amp;$A19&amp;",",","&amp;SUBSTITUTE(INDEX(Propuestas!$E$2:$E$35,26),", ",",")&amp;",")),"●","")</f>
        <v/>
      </c>
      <c r="AC19" s="11" t="str">
        <f aca="false">IF(ISNUMBER(SEARCH(","&amp;$A19&amp;",",","&amp;SUBSTITUTE(INDEX(Propuestas!$E$2:$E$35,27),", ",",")&amp;",")),"●","")</f>
        <v>●</v>
      </c>
      <c r="AD19" s="11" t="str">
        <f aca="false">IF(ISNUMBER(SEARCH(","&amp;$A19&amp;",",","&amp;SUBSTITUTE(INDEX(Propuestas!$E$2:$E$35,28),", ",",")&amp;",")),"●","")</f>
        <v/>
      </c>
      <c r="AE19" s="11" t="str">
        <f aca="false">IF(ISNUMBER(SEARCH(","&amp;$A19&amp;",",","&amp;SUBSTITUTE(INDEX(Propuestas!$E$2:$E$35,29),", ",",")&amp;",")),"●","")</f>
        <v/>
      </c>
      <c r="AF19" s="11" t="str">
        <f aca="false">IF(ISNUMBER(SEARCH(","&amp;$A19&amp;",",","&amp;SUBSTITUTE(INDEX(Propuestas!$E$2:$E$35,30),", ",",")&amp;",")),"●","")</f>
        <v/>
      </c>
      <c r="AG19" s="11" t="str">
        <f aca="false">IF(ISNUMBER(SEARCH(","&amp;$A19&amp;",",","&amp;SUBSTITUTE(INDEX(Propuestas!$E$2:$E$35,31),", ",",")&amp;",")),"●","")</f>
        <v/>
      </c>
      <c r="AH19" s="11" t="str">
        <f aca="false">IF(ISNUMBER(SEARCH(","&amp;$A19&amp;",",","&amp;SUBSTITUTE(INDEX(Propuestas!$E$2:$E$35,32),", ",",")&amp;",")),"●","")</f>
        <v/>
      </c>
      <c r="AI19" s="11" t="str">
        <f aca="false">IF(ISNUMBER(SEARCH(","&amp;$A19&amp;",",","&amp;SUBSTITUTE(INDEX(Propuestas!$E$2:$E$35,33),", ",",")&amp;",")),"●","")</f>
        <v>●</v>
      </c>
      <c r="AJ19" s="11" t="str">
        <f aca="false">IF(ISNUMBER(SEARCH(","&amp;$A19&amp;",",","&amp;SUBSTITUTE(INDEX(Propuestas!$E$2:$E$35,34),", ",",")&amp;",")),"●","")</f>
        <v/>
      </c>
      <c r="AK19" s="10" t="n">
        <f aca="false">COUNTIF(C19:AJ19,"●")</f>
        <v>12</v>
      </c>
    </row>
    <row r="20" customFormat="false" ht="15" hidden="false" customHeight="false" outlineLevel="0" collapsed="false">
      <c r="A20" s="10" t="s">
        <v>469</v>
      </c>
      <c r="B20" s="10" t="n">
        <f aca="false">INDEX(Sindicatos!F:F,MATCH(A20,Sindicatos!A:A,0))</f>
        <v>3</v>
      </c>
      <c r="C20" s="11" t="str">
        <f aca="false">IF(ISNUMBER(SEARCH(","&amp;$A20&amp;",",","&amp;SUBSTITUTE(INDEX(Propuestas!$E$2:$E$35,1),", ",",")&amp;",")),"●","")</f>
        <v>●</v>
      </c>
      <c r="D20" s="11" t="str">
        <f aca="false">IF(ISNUMBER(SEARCH(","&amp;$A20&amp;",",","&amp;SUBSTITUTE(INDEX(Propuestas!$E$2:$E$35,2),", ",",")&amp;",")),"●","")</f>
        <v/>
      </c>
      <c r="E20" s="11" t="str">
        <f aca="false">IF(ISNUMBER(SEARCH(","&amp;$A20&amp;",",","&amp;SUBSTITUTE(INDEX(Propuestas!$E$2:$E$35,3),", ",",")&amp;",")),"●","")</f>
        <v>●</v>
      </c>
      <c r="F20" s="11" t="str">
        <f aca="false">IF(ISNUMBER(SEARCH(","&amp;$A20&amp;",",","&amp;SUBSTITUTE(INDEX(Propuestas!$E$2:$E$35,4),", ",",")&amp;",")),"●","")</f>
        <v>●</v>
      </c>
      <c r="G20" s="11" t="str">
        <f aca="false">IF(ISNUMBER(SEARCH(","&amp;$A20&amp;",",","&amp;SUBSTITUTE(INDEX(Propuestas!$E$2:$E$35,5),", ",",")&amp;",")),"●","")</f>
        <v/>
      </c>
      <c r="H20" s="11" t="str">
        <f aca="false">IF(ISNUMBER(SEARCH(","&amp;$A20&amp;",",","&amp;SUBSTITUTE(INDEX(Propuestas!$E$2:$E$35,6),", ",",")&amp;",")),"●","")</f>
        <v>●</v>
      </c>
      <c r="I20" s="11" t="str">
        <f aca="false">IF(ISNUMBER(SEARCH(","&amp;$A20&amp;",",","&amp;SUBSTITUTE(INDEX(Propuestas!$E$2:$E$35,7),", ",",")&amp;",")),"●","")</f>
        <v/>
      </c>
      <c r="J20" s="11" t="str">
        <f aca="false">IF(ISNUMBER(SEARCH(","&amp;$A20&amp;",",","&amp;SUBSTITUTE(INDEX(Propuestas!$E$2:$E$35,8),", ",",")&amp;",")),"●","")</f>
        <v/>
      </c>
      <c r="K20" s="11" t="str">
        <f aca="false">IF(ISNUMBER(SEARCH(","&amp;$A20&amp;",",","&amp;SUBSTITUTE(INDEX(Propuestas!$E$2:$E$35,9),", ",",")&amp;",")),"●","")</f>
        <v/>
      </c>
      <c r="L20" s="11" t="str">
        <f aca="false">IF(ISNUMBER(SEARCH(","&amp;$A20&amp;",",","&amp;SUBSTITUTE(INDEX(Propuestas!$E$2:$E$35,10),", ",",")&amp;",")),"●","")</f>
        <v/>
      </c>
      <c r="M20" s="11" t="str">
        <f aca="false">IF(ISNUMBER(SEARCH(","&amp;$A20&amp;",",","&amp;SUBSTITUTE(INDEX(Propuestas!$E$2:$E$35,11),", ",",")&amp;",")),"●","")</f>
        <v/>
      </c>
      <c r="N20" s="11" t="str">
        <f aca="false">IF(ISNUMBER(SEARCH(","&amp;$A20&amp;",",","&amp;SUBSTITUTE(INDEX(Propuestas!$E$2:$E$35,12),", ",",")&amp;",")),"●","")</f>
        <v/>
      </c>
      <c r="O20" s="11" t="str">
        <f aca="false">IF(ISNUMBER(SEARCH(","&amp;$A20&amp;",",","&amp;SUBSTITUTE(INDEX(Propuestas!$E$2:$E$35,13),", ",",")&amp;",")),"●","")</f>
        <v/>
      </c>
      <c r="P20" s="11" t="str">
        <f aca="false">IF(ISNUMBER(SEARCH(","&amp;$A20&amp;",",","&amp;SUBSTITUTE(INDEX(Propuestas!$E$2:$E$35,14),", ",",")&amp;",")),"●","")</f>
        <v/>
      </c>
      <c r="Q20" s="11" t="str">
        <f aca="false">IF(ISNUMBER(SEARCH(","&amp;$A20&amp;",",","&amp;SUBSTITUTE(INDEX(Propuestas!$E$2:$E$35,15),", ",",")&amp;",")),"●","")</f>
        <v/>
      </c>
      <c r="R20" s="11" t="str">
        <f aca="false">IF(ISNUMBER(SEARCH(","&amp;$A20&amp;",",","&amp;SUBSTITUTE(INDEX(Propuestas!$E$2:$E$35,16),", ",",")&amp;",")),"●","")</f>
        <v>●</v>
      </c>
      <c r="S20" s="11" t="str">
        <f aca="false">IF(ISNUMBER(SEARCH(","&amp;$A20&amp;",",","&amp;SUBSTITUTE(INDEX(Propuestas!$E$2:$E$35,17),", ",",")&amp;",")),"●","")</f>
        <v/>
      </c>
      <c r="T20" s="11" t="str">
        <f aca="false">IF(ISNUMBER(SEARCH(","&amp;$A20&amp;",",","&amp;SUBSTITUTE(INDEX(Propuestas!$E$2:$E$35,18),", ",",")&amp;",")),"●","")</f>
        <v/>
      </c>
      <c r="U20" s="11" t="str">
        <f aca="false">IF(ISNUMBER(SEARCH(","&amp;$A20&amp;",",","&amp;SUBSTITUTE(INDEX(Propuestas!$E$2:$E$35,19),", ",",")&amp;",")),"●","")</f>
        <v/>
      </c>
      <c r="V20" s="11" t="str">
        <f aca="false">IF(ISNUMBER(SEARCH(","&amp;$A20&amp;",",","&amp;SUBSTITUTE(INDEX(Propuestas!$E$2:$E$35,20),", ",",")&amp;",")),"●","")</f>
        <v>●</v>
      </c>
      <c r="W20" s="11" t="str">
        <f aca="false">IF(ISNUMBER(SEARCH(","&amp;$A20&amp;",",","&amp;SUBSTITUTE(INDEX(Propuestas!$E$2:$E$35,21),", ",",")&amp;",")),"●","")</f>
        <v/>
      </c>
      <c r="X20" s="11" t="str">
        <f aca="false">IF(ISNUMBER(SEARCH(","&amp;$A20&amp;",",","&amp;SUBSTITUTE(INDEX(Propuestas!$E$2:$E$35,22),", ",",")&amp;",")),"●","")</f>
        <v>●</v>
      </c>
      <c r="Y20" s="11" t="str">
        <f aca="false">IF(ISNUMBER(SEARCH(","&amp;$A20&amp;",",","&amp;SUBSTITUTE(INDEX(Propuestas!$E$2:$E$35,23),", ",",")&amp;",")),"●","")</f>
        <v/>
      </c>
      <c r="Z20" s="11" t="str">
        <f aca="false">IF(ISNUMBER(SEARCH(","&amp;$A20&amp;",",","&amp;SUBSTITUTE(INDEX(Propuestas!$E$2:$E$35,24),", ",",")&amp;",")),"●","")</f>
        <v/>
      </c>
      <c r="AA20" s="11" t="str">
        <f aca="false">IF(ISNUMBER(SEARCH(","&amp;$A20&amp;",",","&amp;SUBSTITUTE(INDEX(Propuestas!$E$2:$E$35,25),", ",",")&amp;",")),"●","")</f>
        <v/>
      </c>
      <c r="AB20" s="11" t="str">
        <f aca="false">IF(ISNUMBER(SEARCH(","&amp;$A20&amp;",",","&amp;SUBSTITUTE(INDEX(Propuestas!$E$2:$E$35,26),", ",",")&amp;",")),"●","")</f>
        <v/>
      </c>
      <c r="AC20" s="11" t="str">
        <f aca="false">IF(ISNUMBER(SEARCH(","&amp;$A20&amp;",",","&amp;SUBSTITUTE(INDEX(Propuestas!$E$2:$E$35,27),", ",",")&amp;",")),"●","")</f>
        <v/>
      </c>
      <c r="AD20" s="11" t="str">
        <f aca="false">IF(ISNUMBER(SEARCH(","&amp;$A20&amp;",",","&amp;SUBSTITUTE(INDEX(Propuestas!$E$2:$E$35,28),", ",",")&amp;",")),"●","")</f>
        <v/>
      </c>
      <c r="AE20" s="11" t="str">
        <f aca="false">IF(ISNUMBER(SEARCH(","&amp;$A20&amp;",",","&amp;SUBSTITUTE(INDEX(Propuestas!$E$2:$E$35,29),", ",",")&amp;",")),"●","")</f>
        <v>●</v>
      </c>
      <c r="AF20" s="11" t="str">
        <f aca="false">IF(ISNUMBER(SEARCH(","&amp;$A20&amp;",",","&amp;SUBSTITUTE(INDEX(Propuestas!$E$2:$E$35,30),", ",",")&amp;",")),"●","")</f>
        <v>●</v>
      </c>
      <c r="AG20" s="11" t="str">
        <f aca="false">IF(ISNUMBER(SEARCH(","&amp;$A20&amp;",",","&amp;SUBSTITUTE(INDEX(Propuestas!$E$2:$E$35,31),", ",",")&amp;",")),"●","")</f>
        <v/>
      </c>
      <c r="AH20" s="11" t="str">
        <f aca="false">IF(ISNUMBER(SEARCH(","&amp;$A20&amp;",",","&amp;SUBSTITUTE(INDEX(Propuestas!$E$2:$E$35,32),", ",",")&amp;",")),"●","")</f>
        <v/>
      </c>
      <c r="AI20" s="11" t="str">
        <f aca="false">IF(ISNUMBER(SEARCH(","&amp;$A20&amp;",",","&amp;SUBSTITUTE(INDEX(Propuestas!$E$2:$E$35,33),", ",",")&amp;",")),"●","")</f>
        <v/>
      </c>
      <c r="AJ20" s="11" t="str">
        <f aca="false">IF(ISNUMBER(SEARCH(","&amp;$A20&amp;",",","&amp;SUBSTITUTE(INDEX(Propuestas!$E$2:$E$35,34),", ",",")&amp;",")),"●","")</f>
        <v/>
      </c>
      <c r="AK20" s="10" t="n">
        <f aca="false">COUNTIF(C20:AJ20,"●")</f>
        <v>9</v>
      </c>
    </row>
    <row r="21" customFormat="false" ht="15" hidden="false" customHeight="false" outlineLevel="0" collapsed="false">
      <c r="A21" s="10" t="s">
        <v>478</v>
      </c>
      <c r="B21" s="10" t="n">
        <f aca="false">INDEX(Sindicatos!F:F,MATCH(A21,Sindicatos!A:A,0))</f>
        <v>3</v>
      </c>
      <c r="C21" s="11" t="str">
        <f aca="false">IF(ISNUMBER(SEARCH(","&amp;$A21&amp;",",","&amp;SUBSTITUTE(INDEX(Propuestas!$E$2:$E$35,1),", ",",")&amp;",")),"●","")</f>
        <v/>
      </c>
      <c r="D21" s="11" t="str">
        <f aca="false">IF(ISNUMBER(SEARCH(","&amp;$A21&amp;",",","&amp;SUBSTITUTE(INDEX(Propuestas!$E$2:$E$35,2),", ",",")&amp;",")),"●","")</f>
        <v>●</v>
      </c>
      <c r="E21" s="11" t="str">
        <f aca="false">IF(ISNUMBER(SEARCH(","&amp;$A21&amp;",",","&amp;SUBSTITUTE(INDEX(Propuestas!$E$2:$E$35,3),", ",",")&amp;",")),"●","")</f>
        <v/>
      </c>
      <c r="F21" s="11" t="str">
        <f aca="false">IF(ISNUMBER(SEARCH(","&amp;$A21&amp;",",","&amp;SUBSTITUTE(INDEX(Propuestas!$E$2:$E$35,4),", ",",")&amp;",")),"●","")</f>
        <v>●</v>
      </c>
      <c r="G21" s="11" t="str">
        <f aca="false">IF(ISNUMBER(SEARCH(","&amp;$A21&amp;",",","&amp;SUBSTITUTE(INDEX(Propuestas!$E$2:$E$35,5),", ",",")&amp;",")),"●","")</f>
        <v/>
      </c>
      <c r="H21" s="11" t="str">
        <f aca="false">IF(ISNUMBER(SEARCH(","&amp;$A21&amp;",",","&amp;SUBSTITUTE(INDEX(Propuestas!$E$2:$E$35,6),", ",",")&amp;",")),"●","")</f>
        <v/>
      </c>
      <c r="I21" s="11" t="str">
        <f aca="false">IF(ISNUMBER(SEARCH(","&amp;$A21&amp;",",","&amp;SUBSTITUTE(INDEX(Propuestas!$E$2:$E$35,7),", ",",")&amp;",")),"●","")</f>
        <v/>
      </c>
      <c r="J21" s="11" t="str">
        <f aca="false">IF(ISNUMBER(SEARCH(","&amp;$A21&amp;",",","&amp;SUBSTITUTE(INDEX(Propuestas!$E$2:$E$35,8),", ",",")&amp;",")),"●","")</f>
        <v>●</v>
      </c>
      <c r="K21" s="11" t="str">
        <f aca="false">IF(ISNUMBER(SEARCH(","&amp;$A21&amp;",",","&amp;SUBSTITUTE(INDEX(Propuestas!$E$2:$E$35,9),", ",",")&amp;",")),"●","")</f>
        <v>●</v>
      </c>
      <c r="L21" s="11" t="str">
        <f aca="false">IF(ISNUMBER(SEARCH(","&amp;$A21&amp;",",","&amp;SUBSTITUTE(INDEX(Propuestas!$E$2:$E$35,10),", ",",")&amp;",")),"●","")</f>
        <v/>
      </c>
      <c r="M21" s="11" t="str">
        <f aca="false">IF(ISNUMBER(SEARCH(","&amp;$A21&amp;",",","&amp;SUBSTITUTE(INDEX(Propuestas!$E$2:$E$35,11),", ",",")&amp;",")),"●","")</f>
        <v/>
      </c>
      <c r="N21" s="11" t="str">
        <f aca="false">IF(ISNUMBER(SEARCH(","&amp;$A21&amp;",",","&amp;SUBSTITUTE(INDEX(Propuestas!$E$2:$E$35,12),", ",",")&amp;",")),"●","")</f>
        <v/>
      </c>
      <c r="O21" s="11" t="str">
        <f aca="false">IF(ISNUMBER(SEARCH(","&amp;$A21&amp;",",","&amp;SUBSTITUTE(INDEX(Propuestas!$E$2:$E$35,13),", ",",")&amp;",")),"●","")</f>
        <v>●</v>
      </c>
      <c r="P21" s="11" t="str">
        <f aca="false">IF(ISNUMBER(SEARCH(","&amp;$A21&amp;",",","&amp;SUBSTITUTE(INDEX(Propuestas!$E$2:$E$35,14),", ",",")&amp;",")),"●","")</f>
        <v/>
      </c>
      <c r="Q21" s="11" t="str">
        <f aca="false">IF(ISNUMBER(SEARCH(","&amp;$A21&amp;",",","&amp;SUBSTITUTE(INDEX(Propuestas!$E$2:$E$35,15),", ",",")&amp;",")),"●","")</f>
        <v>●</v>
      </c>
      <c r="R21" s="11" t="str">
        <f aca="false">IF(ISNUMBER(SEARCH(","&amp;$A21&amp;",",","&amp;SUBSTITUTE(INDEX(Propuestas!$E$2:$E$35,16),", ",",")&amp;",")),"●","")</f>
        <v/>
      </c>
      <c r="S21" s="11" t="str">
        <f aca="false">IF(ISNUMBER(SEARCH(","&amp;$A21&amp;",",","&amp;SUBSTITUTE(INDEX(Propuestas!$E$2:$E$35,17),", ",",")&amp;",")),"●","")</f>
        <v/>
      </c>
      <c r="T21" s="11" t="str">
        <f aca="false">IF(ISNUMBER(SEARCH(","&amp;$A21&amp;",",","&amp;SUBSTITUTE(INDEX(Propuestas!$E$2:$E$35,18),", ",",")&amp;",")),"●","")</f>
        <v>●</v>
      </c>
      <c r="U21" s="11" t="str">
        <f aca="false">IF(ISNUMBER(SEARCH(","&amp;$A21&amp;",",","&amp;SUBSTITUTE(INDEX(Propuestas!$E$2:$E$35,19),", ",",")&amp;",")),"●","")</f>
        <v>●</v>
      </c>
      <c r="V21" s="11" t="str">
        <f aca="false">IF(ISNUMBER(SEARCH(","&amp;$A21&amp;",",","&amp;SUBSTITUTE(INDEX(Propuestas!$E$2:$E$35,20),", ",",")&amp;",")),"●","")</f>
        <v>●</v>
      </c>
      <c r="W21" s="11" t="str">
        <f aca="false">IF(ISNUMBER(SEARCH(","&amp;$A21&amp;",",","&amp;SUBSTITUTE(INDEX(Propuestas!$E$2:$E$35,21),", ",",")&amp;",")),"●","")</f>
        <v/>
      </c>
      <c r="X21" s="11" t="str">
        <f aca="false">IF(ISNUMBER(SEARCH(","&amp;$A21&amp;",",","&amp;SUBSTITUTE(INDEX(Propuestas!$E$2:$E$35,22),", ",",")&amp;",")),"●","")</f>
        <v/>
      </c>
      <c r="Y21" s="11" t="str">
        <f aca="false">IF(ISNUMBER(SEARCH(","&amp;$A21&amp;",",","&amp;SUBSTITUTE(INDEX(Propuestas!$E$2:$E$35,23),", ",",")&amp;",")),"●","")</f>
        <v/>
      </c>
      <c r="Z21" s="11" t="str">
        <f aca="false">IF(ISNUMBER(SEARCH(","&amp;$A21&amp;",",","&amp;SUBSTITUTE(INDEX(Propuestas!$E$2:$E$35,24),", ",",")&amp;",")),"●","")</f>
        <v/>
      </c>
      <c r="AA21" s="11" t="str">
        <f aca="false">IF(ISNUMBER(SEARCH(","&amp;$A21&amp;",",","&amp;SUBSTITUTE(INDEX(Propuestas!$E$2:$E$35,25),", ",",")&amp;",")),"●","")</f>
        <v/>
      </c>
      <c r="AB21" s="11" t="str">
        <f aca="false">IF(ISNUMBER(SEARCH(","&amp;$A21&amp;",",","&amp;SUBSTITUTE(INDEX(Propuestas!$E$2:$E$35,26),", ",",")&amp;",")),"●","")</f>
        <v>●</v>
      </c>
      <c r="AC21" s="11" t="str">
        <f aca="false">IF(ISNUMBER(SEARCH(","&amp;$A21&amp;",",","&amp;SUBSTITUTE(INDEX(Propuestas!$E$2:$E$35,27),", ",",")&amp;",")),"●","")</f>
        <v/>
      </c>
      <c r="AD21" s="11" t="str">
        <f aca="false">IF(ISNUMBER(SEARCH(","&amp;$A21&amp;",",","&amp;SUBSTITUTE(INDEX(Propuestas!$E$2:$E$35,28),", ",",")&amp;",")),"●","")</f>
        <v>●</v>
      </c>
      <c r="AE21" s="11" t="str">
        <f aca="false">IF(ISNUMBER(SEARCH(","&amp;$A21&amp;",",","&amp;SUBSTITUTE(INDEX(Propuestas!$E$2:$E$35,29),", ",",")&amp;",")),"●","")</f>
        <v/>
      </c>
      <c r="AF21" s="11" t="str">
        <f aca="false">IF(ISNUMBER(SEARCH(","&amp;$A21&amp;",",","&amp;SUBSTITUTE(INDEX(Propuestas!$E$2:$E$35,30),", ",",")&amp;",")),"●","")</f>
        <v/>
      </c>
      <c r="AG21" s="11" t="str">
        <f aca="false">IF(ISNUMBER(SEARCH(","&amp;$A21&amp;",",","&amp;SUBSTITUTE(INDEX(Propuestas!$E$2:$E$35,31),", ",",")&amp;",")),"●","")</f>
        <v/>
      </c>
      <c r="AH21" s="11" t="str">
        <f aca="false">IF(ISNUMBER(SEARCH(","&amp;$A21&amp;",",","&amp;SUBSTITUTE(INDEX(Propuestas!$E$2:$E$35,32),", ",",")&amp;",")),"●","")</f>
        <v/>
      </c>
      <c r="AI21" s="11" t="str">
        <f aca="false">IF(ISNUMBER(SEARCH(","&amp;$A21&amp;",",","&amp;SUBSTITUTE(INDEX(Propuestas!$E$2:$E$35,33),", ",",")&amp;",")),"●","")</f>
        <v/>
      </c>
      <c r="AJ21" s="11" t="str">
        <f aca="false">IF(ISNUMBER(SEARCH(","&amp;$A21&amp;",",","&amp;SUBSTITUTE(INDEX(Propuestas!$E$2:$E$35,34),", ",",")&amp;",")),"●","")</f>
        <v/>
      </c>
      <c r="AK21" s="10" t="n">
        <f aca="false">COUNTIF(C21:AJ21,"●")</f>
        <v>11</v>
      </c>
    </row>
    <row r="22" customFormat="false" ht="15" hidden="false" customHeight="false" outlineLevel="0" collapsed="false">
      <c r="A22" s="10" t="s">
        <v>487</v>
      </c>
      <c r="B22" s="10" t="n">
        <f aca="false">INDEX(Sindicatos!F:F,MATCH(A22,Sindicatos!A:A,0))</f>
        <v>3</v>
      </c>
      <c r="C22" s="11" t="str">
        <f aca="false">IF(ISNUMBER(SEARCH(","&amp;$A22&amp;",",","&amp;SUBSTITUTE(INDEX(Propuestas!$E$2:$E$35,1),", ",",")&amp;",")),"●","")</f>
        <v/>
      </c>
      <c r="D22" s="11" t="str">
        <f aca="false">IF(ISNUMBER(SEARCH(","&amp;$A22&amp;",",","&amp;SUBSTITUTE(INDEX(Propuestas!$E$2:$E$35,2),", ",",")&amp;",")),"●","")</f>
        <v/>
      </c>
      <c r="E22" s="11" t="str">
        <f aca="false">IF(ISNUMBER(SEARCH(","&amp;$A22&amp;",",","&amp;SUBSTITUTE(INDEX(Propuestas!$E$2:$E$35,3),", ",",")&amp;",")),"●","")</f>
        <v>●</v>
      </c>
      <c r="F22" s="11" t="str">
        <f aca="false">IF(ISNUMBER(SEARCH(","&amp;$A22&amp;",",","&amp;SUBSTITUTE(INDEX(Propuestas!$E$2:$E$35,4),", ",",")&amp;",")),"●","")</f>
        <v>●</v>
      </c>
      <c r="G22" s="11" t="str">
        <f aca="false">IF(ISNUMBER(SEARCH(","&amp;$A22&amp;",",","&amp;SUBSTITUTE(INDEX(Propuestas!$E$2:$E$35,5),", ",",")&amp;",")),"●","")</f>
        <v/>
      </c>
      <c r="H22" s="11" t="str">
        <f aca="false">IF(ISNUMBER(SEARCH(","&amp;$A22&amp;",",","&amp;SUBSTITUTE(INDEX(Propuestas!$E$2:$E$35,6),", ",",")&amp;",")),"●","")</f>
        <v/>
      </c>
      <c r="I22" s="11" t="str">
        <f aca="false">IF(ISNUMBER(SEARCH(","&amp;$A22&amp;",",","&amp;SUBSTITUTE(INDEX(Propuestas!$E$2:$E$35,7),", ",",")&amp;",")),"●","")</f>
        <v/>
      </c>
      <c r="J22" s="11" t="str">
        <f aca="false">IF(ISNUMBER(SEARCH(","&amp;$A22&amp;",",","&amp;SUBSTITUTE(INDEX(Propuestas!$E$2:$E$35,8),", ",",")&amp;",")),"●","")</f>
        <v>●</v>
      </c>
      <c r="K22" s="11" t="str">
        <f aca="false">IF(ISNUMBER(SEARCH(","&amp;$A22&amp;",",","&amp;SUBSTITUTE(INDEX(Propuestas!$E$2:$E$35,9),", ",",")&amp;",")),"●","")</f>
        <v>●</v>
      </c>
      <c r="L22" s="11" t="str">
        <f aca="false">IF(ISNUMBER(SEARCH(","&amp;$A22&amp;",",","&amp;SUBSTITUTE(INDEX(Propuestas!$E$2:$E$35,10),", ",",")&amp;",")),"●","")</f>
        <v/>
      </c>
      <c r="M22" s="11" t="str">
        <f aca="false">IF(ISNUMBER(SEARCH(","&amp;$A22&amp;",",","&amp;SUBSTITUTE(INDEX(Propuestas!$E$2:$E$35,11),", ",",")&amp;",")),"●","")</f>
        <v/>
      </c>
      <c r="N22" s="11" t="str">
        <f aca="false">IF(ISNUMBER(SEARCH(","&amp;$A22&amp;",",","&amp;SUBSTITUTE(INDEX(Propuestas!$E$2:$E$35,12),", ",",")&amp;",")),"●","")</f>
        <v/>
      </c>
      <c r="O22" s="11" t="str">
        <f aca="false">IF(ISNUMBER(SEARCH(","&amp;$A22&amp;",",","&amp;SUBSTITUTE(INDEX(Propuestas!$E$2:$E$35,13),", ",",")&amp;",")),"●","")</f>
        <v/>
      </c>
      <c r="P22" s="11" t="str">
        <f aca="false">IF(ISNUMBER(SEARCH(","&amp;$A22&amp;",",","&amp;SUBSTITUTE(INDEX(Propuestas!$E$2:$E$35,14),", ",",")&amp;",")),"●","")</f>
        <v>●</v>
      </c>
      <c r="Q22" s="11" t="str">
        <f aca="false">IF(ISNUMBER(SEARCH(","&amp;$A22&amp;",",","&amp;SUBSTITUTE(INDEX(Propuestas!$E$2:$E$35,15),", ",",")&amp;",")),"●","")</f>
        <v/>
      </c>
      <c r="R22" s="11" t="str">
        <f aca="false">IF(ISNUMBER(SEARCH(","&amp;$A22&amp;",",","&amp;SUBSTITUTE(INDEX(Propuestas!$E$2:$E$35,16),", ",",")&amp;",")),"●","")</f>
        <v/>
      </c>
      <c r="S22" s="11" t="str">
        <f aca="false">IF(ISNUMBER(SEARCH(","&amp;$A22&amp;",",","&amp;SUBSTITUTE(INDEX(Propuestas!$E$2:$E$35,17),", ",",")&amp;",")),"●","")</f>
        <v/>
      </c>
      <c r="T22" s="11" t="str">
        <f aca="false">IF(ISNUMBER(SEARCH(","&amp;$A22&amp;",",","&amp;SUBSTITUTE(INDEX(Propuestas!$E$2:$E$35,18),", ",",")&amp;",")),"●","")</f>
        <v>●</v>
      </c>
      <c r="U22" s="11" t="str">
        <f aca="false">IF(ISNUMBER(SEARCH(","&amp;$A22&amp;",",","&amp;SUBSTITUTE(INDEX(Propuestas!$E$2:$E$35,19),", ",",")&amp;",")),"●","")</f>
        <v/>
      </c>
      <c r="V22" s="11" t="str">
        <f aca="false">IF(ISNUMBER(SEARCH(","&amp;$A22&amp;",",","&amp;SUBSTITUTE(INDEX(Propuestas!$E$2:$E$35,20),", ",",")&amp;",")),"●","")</f>
        <v>●</v>
      </c>
      <c r="W22" s="11" t="str">
        <f aca="false">IF(ISNUMBER(SEARCH(","&amp;$A22&amp;",",","&amp;SUBSTITUTE(INDEX(Propuestas!$E$2:$E$35,21),", ",",")&amp;",")),"●","")</f>
        <v/>
      </c>
      <c r="X22" s="11" t="str">
        <f aca="false">IF(ISNUMBER(SEARCH(","&amp;$A22&amp;",",","&amp;SUBSTITUTE(INDEX(Propuestas!$E$2:$E$35,22),", ",",")&amp;",")),"●","")</f>
        <v>●</v>
      </c>
      <c r="Y22" s="11" t="str">
        <f aca="false">IF(ISNUMBER(SEARCH(","&amp;$A22&amp;",",","&amp;SUBSTITUTE(INDEX(Propuestas!$E$2:$E$35,23),", ",",")&amp;",")),"●","")</f>
        <v/>
      </c>
      <c r="Z22" s="11" t="str">
        <f aca="false">IF(ISNUMBER(SEARCH(","&amp;$A22&amp;",",","&amp;SUBSTITUTE(INDEX(Propuestas!$E$2:$E$35,24),", ",",")&amp;",")),"●","")</f>
        <v/>
      </c>
      <c r="AA22" s="11" t="str">
        <f aca="false">IF(ISNUMBER(SEARCH(","&amp;$A22&amp;",",","&amp;SUBSTITUTE(INDEX(Propuestas!$E$2:$E$35,25),", ",",")&amp;",")),"●","")</f>
        <v/>
      </c>
      <c r="AB22" s="11" t="str">
        <f aca="false">IF(ISNUMBER(SEARCH(","&amp;$A22&amp;",",","&amp;SUBSTITUTE(INDEX(Propuestas!$E$2:$E$35,26),", ",",")&amp;",")),"●","")</f>
        <v/>
      </c>
      <c r="AC22" s="11" t="str">
        <f aca="false">IF(ISNUMBER(SEARCH(","&amp;$A22&amp;",",","&amp;SUBSTITUTE(INDEX(Propuestas!$E$2:$E$35,27),", ",",")&amp;",")),"●","")</f>
        <v/>
      </c>
      <c r="AD22" s="11" t="str">
        <f aca="false">IF(ISNUMBER(SEARCH(","&amp;$A22&amp;",",","&amp;SUBSTITUTE(INDEX(Propuestas!$E$2:$E$35,28),", ",",")&amp;",")),"●","")</f>
        <v/>
      </c>
      <c r="AE22" s="11" t="str">
        <f aca="false">IF(ISNUMBER(SEARCH(","&amp;$A22&amp;",",","&amp;SUBSTITUTE(INDEX(Propuestas!$E$2:$E$35,29),", ",",")&amp;",")),"●","")</f>
        <v>●</v>
      </c>
      <c r="AF22" s="11" t="str">
        <f aca="false">IF(ISNUMBER(SEARCH(","&amp;$A22&amp;",",","&amp;SUBSTITUTE(INDEX(Propuestas!$E$2:$E$35,30),", ",",")&amp;",")),"●","")</f>
        <v/>
      </c>
      <c r="AG22" s="11" t="str">
        <f aca="false">IF(ISNUMBER(SEARCH(","&amp;$A22&amp;",",","&amp;SUBSTITUTE(INDEX(Propuestas!$E$2:$E$35,31),", ",",")&amp;",")),"●","")</f>
        <v/>
      </c>
      <c r="AH22" s="11" t="str">
        <f aca="false">IF(ISNUMBER(SEARCH(","&amp;$A22&amp;",",","&amp;SUBSTITUTE(INDEX(Propuestas!$E$2:$E$35,32),", ",",")&amp;",")),"●","")</f>
        <v/>
      </c>
      <c r="AI22" s="11" t="str">
        <f aca="false">IF(ISNUMBER(SEARCH(","&amp;$A22&amp;",",","&amp;SUBSTITUTE(INDEX(Propuestas!$E$2:$E$35,33),", ",",")&amp;",")),"●","")</f>
        <v/>
      </c>
      <c r="AJ22" s="11" t="str">
        <f aca="false">IF(ISNUMBER(SEARCH(","&amp;$A22&amp;",",","&amp;SUBSTITUTE(INDEX(Propuestas!$E$2:$E$35,34),", ",",")&amp;",")),"●","")</f>
        <v>●</v>
      </c>
      <c r="AK22" s="10" t="n">
        <f aca="false">COUNTIF(C22:AJ22,"●")</f>
        <v>10</v>
      </c>
    </row>
    <row r="23" customFormat="false" ht="15" hidden="false" customHeight="false" outlineLevel="0" collapsed="false">
      <c r="A23" s="10" t="s">
        <v>496</v>
      </c>
      <c r="B23" s="10" t="n">
        <f aca="false">INDEX(Sindicatos!F:F,MATCH(A23,Sindicatos!A:A,0))</f>
        <v>3</v>
      </c>
      <c r="C23" s="11" t="str">
        <f aca="false">IF(ISNUMBER(SEARCH(","&amp;$A23&amp;",",","&amp;SUBSTITUTE(INDEX(Propuestas!$E$2:$E$35,1),", ",",")&amp;",")),"●","")</f>
        <v/>
      </c>
      <c r="D23" s="11" t="str">
        <f aca="false">IF(ISNUMBER(SEARCH(","&amp;$A23&amp;",",","&amp;SUBSTITUTE(INDEX(Propuestas!$E$2:$E$35,2),", ",",")&amp;",")),"●","")</f>
        <v/>
      </c>
      <c r="E23" s="11" t="str">
        <f aca="false">IF(ISNUMBER(SEARCH(","&amp;$A23&amp;",",","&amp;SUBSTITUTE(INDEX(Propuestas!$E$2:$E$35,3),", ",",")&amp;",")),"●","")</f>
        <v/>
      </c>
      <c r="F23" s="11" t="str">
        <f aca="false">IF(ISNUMBER(SEARCH(","&amp;$A23&amp;",",","&amp;SUBSTITUTE(INDEX(Propuestas!$E$2:$E$35,4),", ",",")&amp;",")),"●","")</f>
        <v/>
      </c>
      <c r="G23" s="11" t="str">
        <f aca="false">IF(ISNUMBER(SEARCH(","&amp;$A23&amp;",",","&amp;SUBSTITUTE(INDEX(Propuestas!$E$2:$E$35,5),", ",",")&amp;",")),"●","")</f>
        <v>●</v>
      </c>
      <c r="H23" s="11" t="str">
        <f aca="false">IF(ISNUMBER(SEARCH(","&amp;$A23&amp;",",","&amp;SUBSTITUTE(INDEX(Propuestas!$E$2:$E$35,6),", ",",")&amp;",")),"●","")</f>
        <v/>
      </c>
      <c r="I23" s="11" t="str">
        <f aca="false">IF(ISNUMBER(SEARCH(","&amp;$A23&amp;",",","&amp;SUBSTITUTE(INDEX(Propuestas!$E$2:$E$35,7),", ",",")&amp;",")),"●","")</f>
        <v/>
      </c>
      <c r="J23" s="11" t="str">
        <f aca="false">IF(ISNUMBER(SEARCH(","&amp;$A23&amp;",",","&amp;SUBSTITUTE(INDEX(Propuestas!$E$2:$E$35,8),", ",",")&amp;",")),"●","")</f>
        <v/>
      </c>
      <c r="K23" s="11" t="str">
        <f aca="false">IF(ISNUMBER(SEARCH(","&amp;$A23&amp;",",","&amp;SUBSTITUTE(INDEX(Propuestas!$E$2:$E$35,9),", ",",")&amp;",")),"●","")</f>
        <v/>
      </c>
      <c r="L23" s="11" t="str">
        <f aca="false">IF(ISNUMBER(SEARCH(","&amp;$A23&amp;",",","&amp;SUBSTITUTE(INDEX(Propuestas!$E$2:$E$35,10),", ",",")&amp;",")),"●","")</f>
        <v>●</v>
      </c>
      <c r="M23" s="11" t="str">
        <f aca="false">IF(ISNUMBER(SEARCH(","&amp;$A23&amp;",",","&amp;SUBSTITUTE(INDEX(Propuestas!$E$2:$E$35,11),", ",",")&amp;",")),"●","")</f>
        <v/>
      </c>
      <c r="N23" s="11" t="str">
        <f aca="false">IF(ISNUMBER(SEARCH(","&amp;$A23&amp;",",","&amp;SUBSTITUTE(INDEX(Propuestas!$E$2:$E$35,12),", ",",")&amp;",")),"●","")</f>
        <v/>
      </c>
      <c r="O23" s="11" t="str">
        <f aca="false">IF(ISNUMBER(SEARCH(","&amp;$A23&amp;",",","&amp;SUBSTITUTE(INDEX(Propuestas!$E$2:$E$35,13),", ",",")&amp;",")),"●","")</f>
        <v/>
      </c>
      <c r="P23" s="11" t="str">
        <f aca="false">IF(ISNUMBER(SEARCH(","&amp;$A23&amp;",",","&amp;SUBSTITUTE(INDEX(Propuestas!$E$2:$E$35,14),", ",",")&amp;",")),"●","")</f>
        <v>●</v>
      </c>
      <c r="Q23" s="11" t="str">
        <f aca="false">IF(ISNUMBER(SEARCH(","&amp;$A23&amp;",",","&amp;SUBSTITUTE(INDEX(Propuestas!$E$2:$E$35,15),", ",",")&amp;",")),"●","")</f>
        <v>●</v>
      </c>
      <c r="R23" s="11" t="str">
        <f aca="false">IF(ISNUMBER(SEARCH(","&amp;$A23&amp;",",","&amp;SUBSTITUTE(INDEX(Propuestas!$E$2:$E$35,16),", ",",")&amp;",")),"●","")</f>
        <v/>
      </c>
      <c r="S23" s="11" t="str">
        <f aca="false">IF(ISNUMBER(SEARCH(","&amp;$A23&amp;",",","&amp;SUBSTITUTE(INDEX(Propuestas!$E$2:$E$35,17),", ",",")&amp;",")),"●","")</f>
        <v/>
      </c>
      <c r="T23" s="11" t="str">
        <f aca="false">IF(ISNUMBER(SEARCH(","&amp;$A23&amp;",",","&amp;SUBSTITUTE(INDEX(Propuestas!$E$2:$E$35,18),", ",",")&amp;",")),"●","")</f>
        <v/>
      </c>
      <c r="U23" s="11" t="str">
        <f aca="false">IF(ISNUMBER(SEARCH(","&amp;$A23&amp;",",","&amp;SUBSTITUTE(INDEX(Propuestas!$E$2:$E$35,19),", ",",")&amp;",")),"●","")</f>
        <v/>
      </c>
      <c r="V23" s="11" t="str">
        <f aca="false">IF(ISNUMBER(SEARCH(","&amp;$A23&amp;",",","&amp;SUBSTITUTE(INDEX(Propuestas!$E$2:$E$35,20),", ",",")&amp;",")),"●","")</f>
        <v>●</v>
      </c>
      <c r="W23" s="11" t="str">
        <f aca="false">IF(ISNUMBER(SEARCH(","&amp;$A23&amp;",",","&amp;SUBSTITUTE(INDEX(Propuestas!$E$2:$E$35,21),", ",",")&amp;",")),"●","")</f>
        <v/>
      </c>
      <c r="X23" s="11" t="str">
        <f aca="false">IF(ISNUMBER(SEARCH(","&amp;$A23&amp;",",","&amp;SUBSTITUTE(INDEX(Propuestas!$E$2:$E$35,22),", ",",")&amp;",")),"●","")</f>
        <v/>
      </c>
      <c r="Y23" s="11" t="str">
        <f aca="false">IF(ISNUMBER(SEARCH(","&amp;$A23&amp;",",","&amp;SUBSTITUTE(INDEX(Propuestas!$E$2:$E$35,23),", ",",")&amp;",")),"●","")</f>
        <v/>
      </c>
      <c r="Z23" s="11" t="str">
        <f aca="false">IF(ISNUMBER(SEARCH(","&amp;$A23&amp;",",","&amp;SUBSTITUTE(INDEX(Propuestas!$E$2:$E$35,24),", ",",")&amp;",")),"●","")</f>
        <v>●</v>
      </c>
      <c r="AA23" s="11" t="str">
        <f aca="false">IF(ISNUMBER(SEARCH(","&amp;$A23&amp;",",","&amp;SUBSTITUTE(INDEX(Propuestas!$E$2:$E$35,25),", ",",")&amp;",")),"●","")</f>
        <v/>
      </c>
      <c r="AB23" s="11" t="str">
        <f aca="false">IF(ISNUMBER(SEARCH(","&amp;$A23&amp;",",","&amp;SUBSTITUTE(INDEX(Propuestas!$E$2:$E$35,26),", ",",")&amp;",")),"●","")</f>
        <v/>
      </c>
      <c r="AC23" s="11" t="str">
        <f aca="false">IF(ISNUMBER(SEARCH(","&amp;$A23&amp;",",","&amp;SUBSTITUTE(INDEX(Propuestas!$E$2:$E$35,27),", ",",")&amp;",")),"●","")</f>
        <v/>
      </c>
      <c r="AD23" s="11" t="str">
        <f aca="false">IF(ISNUMBER(SEARCH(","&amp;$A23&amp;",",","&amp;SUBSTITUTE(INDEX(Propuestas!$E$2:$E$35,28),", ",",")&amp;",")),"●","")</f>
        <v/>
      </c>
      <c r="AE23" s="11" t="str">
        <f aca="false">IF(ISNUMBER(SEARCH(","&amp;$A23&amp;",",","&amp;SUBSTITUTE(INDEX(Propuestas!$E$2:$E$35,29),", ",",")&amp;",")),"●","")</f>
        <v/>
      </c>
      <c r="AF23" s="11" t="str">
        <f aca="false">IF(ISNUMBER(SEARCH(","&amp;$A23&amp;",",","&amp;SUBSTITUTE(INDEX(Propuestas!$E$2:$E$35,30),", ",",")&amp;",")),"●","")</f>
        <v/>
      </c>
      <c r="AG23" s="11" t="str">
        <f aca="false">IF(ISNUMBER(SEARCH(","&amp;$A23&amp;",",","&amp;SUBSTITUTE(INDEX(Propuestas!$E$2:$E$35,31),", ",",")&amp;",")),"●","")</f>
        <v/>
      </c>
      <c r="AH23" s="11" t="str">
        <f aca="false">IF(ISNUMBER(SEARCH(","&amp;$A23&amp;",",","&amp;SUBSTITUTE(INDEX(Propuestas!$E$2:$E$35,32),", ",",")&amp;",")),"●","")</f>
        <v/>
      </c>
      <c r="AI23" s="11" t="str">
        <f aca="false">IF(ISNUMBER(SEARCH(","&amp;$A23&amp;",",","&amp;SUBSTITUTE(INDEX(Propuestas!$E$2:$E$35,33),", ",",")&amp;",")),"●","")</f>
        <v/>
      </c>
      <c r="AJ23" s="11" t="str">
        <f aca="false">IF(ISNUMBER(SEARCH(","&amp;$A23&amp;",",","&amp;SUBSTITUTE(INDEX(Propuestas!$E$2:$E$35,34),", ",",")&amp;",")),"●","")</f>
        <v>●</v>
      </c>
      <c r="AK23" s="10" t="n">
        <f aca="false">COUNTIF(C23:AJ23,"●")</f>
        <v>7</v>
      </c>
    </row>
    <row r="24" customFormat="false" ht="15" hidden="false" customHeight="false" outlineLevel="0" collapsed="false">
      <c r="A24" s="10" t="s">
        <v>504</v>
      </c>
      <c r="B24" s="10" t="n">
        <f aca="false">INDEX(Sindicatos!F:F,MATCH(A24,Sindicatos!A:A,0))</f>
        <v>3</v>
      </c>
      <c r="C24" s="11" t="str">
        <f aca="false">IF(ISNUMBER(SEARCH(","&amp;$A24&amp;",",","&amp;SUBSTITUTE(INDEX(Propuestas!$E$2:$E$35,1),", ",",")&amp;",")),"●","")</f>
        <v>●</v>
      </c>
      <c r="D24" s="11" t="str">
        <f aca="false">IF(ISNUMBER(SEARCH(","&amp;$A24&amp;",",","&amp;SUBSTITUTE(INDEX(Propuestas!$E$2:$E$35,2),", ",",")&amp;",")),"●","")</f>
        <v/>
      </c>
      <c r="E24" s="11" t="str">
        <f aca="false">IF(ISNUMBER(SEARCH(","&amp;$A24&amp;",",","&amp;SUBSTITUTE(INDEX(Propuestas!$E$2:$E$35,3),", ",",")&amp;",")),"●","")</f>
        <v/>
      </c>
      <c r="F24" s="11" t="str">
        <f aca="false">IF(ISNUMBER(SEARCH(","&amp;$A24&amp;",",","&amp;SUBSTITUTE(INDEX(Propuestas!$E$2:$E$35,4),", ",",")&amp;",")),"●","")</f>
        <v/>
      </c>
      <c r="G24" s="11" t="str">
        <f aca="false">IF(ISNUMBER(SEARCH(","&amp;$A24&amp;",",","&amp;SUBSTITUTE(INDEX(Propuestas!$E$2:$E$35,5),", ",",")&amp;",")),"●","")</f>
        <v/>
      </c>
      <c r="H24" s="11" t="str">
        <f aca="false">IF(ISNUMBER(SEARCH(","&amp;$A24&amp;",",","&amp;SUBSTITUTE(INDEX(Propuestas!$E$2:$E$35,6),", ",",")&amp;",")),"●","")</f>
        <v>●</v>
      </c>
      <c r="I24" s="11" t="str">
        <f aca="false">IF(ISNUMBER(SEARCH(","&amp;$A24&amp;",",","&amp;SUBSTITUTE(INDEX(Propuestas!$E$2:$E$35,7),", ",",")&amp;",")),"●","")</f>
        <v>●</v>
      </c>
      <c r="J24" s="11" t="str">
        <f aca="false">IF(ISNUMBER(SEARCH(","&amp;$A24&amp;",",","&amp;SUBSTITUTE(INDEX(Propuestas!$E$2:$E$35,8),", ",",")&amp;",")),"●","")</f>
        <v/>
      </c>
      <c r="K24" s="11" t="str">
        <f aca="false">IF(ISNUMBER(SEARCH(","&amp;$A24&amp;",",","&amp;SUBSTITUTE(INDEX(Propuestas!$E$2:$E$35,9),", ",",")&amp;",")),"●","")</f>
        <v/>
      </c>
      <c r="L24" s="11" t="str">
        <f aca="false">IF(ISNUMBER(SEARCH(","&amp;$A24&amp;",",","&amp;SUBSTITUTE(INDEX(Propuestas!$E$2:$E$35,10),", ",",")&amp;",")),"●","")</f>
        <v/>
      </c>
      <c r="M24" s="11" t="str">
        <f aca="false">IF(ISNUMBER(SEARCH(","&amp;$A24&amp;",",","&amp;SUBSTITUTE(INDEX(Propuestas!$E$2:$E$35,11),", ",",")&amp;",")),"●","")</f>
        <v/>
      </c>
      <c r="N24" s="11" t="str">
        <f aca="false">IF(ISNUMBER(SEARCH(","&amp;$A24&amp;",",","&amp;SUBSTITUTE(INDEX(Propuestas!$E$2:$E$35,12),", ",",")&amp;",")),"●","")</f>
        <v/>
      </c>
      <c r="O24" s="11" t="str">
        <f aca="false">IF(ISNUMBER(SEARCH(","&amp;$A24&amp;",",","&amp;SUBSTITUTE(INDEX(Propuestas!$E$2:$E$35,13),", ",",")&amp;",")),"●","")</f>
        <v/>
      </c>
      <c r="P24" s="11" t="str">
        <f aca="false">IF(ISNUMBER(SEARCH(","&amp;$A24&amp;",",","&amp;SUBSTITUTE(INDEX(Propuestas!$E$2:$E$35,14),", ",",")&amp;",")),"●","")</f>
        <v/>
      </c>
      <c r="Q24" s="11" t="str">
        <f aca="false">IF(ISNUMBER(SEARCH(","&amp;$A24&amp;",",","&amp;SUBSTITUTE(INDEX(Propuestas!$E$2:$E$35,15),", ",",")&amp;",")),"●","")</f>
        <v>●</v>
      </c>
      <c r="R24" s="11" t="str">
        <f aca="false">IF(ISNUMBER(SEARCH(","&amp;$A24&amp;",",","&amp;SUBSTITUTE(INDEX(Propuestas!$E$2:$E$35,16),", ",",")&amp;",")),"●","")</f>
        <v/>
      </c>
      <c r="S24" s="11" t="str">
        <f aca="false">IF(ISNUMBER(SEARCH(","&amp;$A24&amp;",",","&amp;SUBSTITUTE(INDEX(Propuestas!$E$2:$E$35,17),", ",",")&amp;",")),"●","")</f>
        <v>●</v>
      </c>
      <c r="T24" s="11" t="str">
        <f aca="false">IF(ISNUMBER(SEARCH(","&amp;$A24&amp;",",","&amp;SUBSTITUTE(INDEX(Propuestas!$E$2:$E$35,18),", ",",")&amp;",")),"●","")</f>
        <v/>
      </c>
      <c r="U24" s="11" t="str">
        <f aca="false">IF(ISNUMBER(SEARCH(","&amp;$A24&amp;",",","&amp;SUBSTITUTE(INDEX(Propuestas!$E$2:$E$35,19),", ",",")&amp;",")),"●","")</f>
        <v/>
      </c>
      <c r="V24" s="11" t="str">
        <f aca="false">IF(ISNUMBER(SEARCH(","&amp;$A24&amp;",",","&amp;SUBSTITUTE(INDEX(Propuestas!$E$2:$E$35,20),", ",",")&amp;",")),"●","")</f>
        <v>●</v>
      </c>
      <c r="W24" s="11" t="str">
        <f aca="false">IF(ISNUMBER(SEARCH(","&amp;$A24&amp;",",","&amp;SUBSTITUTE(INDEX(Propuestas!$E$2:$E$35,21),", ",",")&amp;",")),"●","")</f>
        <v/>
      </c>
      <c r="X24" s="11" t="str">
        <f aca="false">IF(ISNUMBER(SEARCH(","&amp;$A24&amp;",",","&amp;SUBSTITUTE(INDEX(Propuestas!$E$2:$E$35,22),", ",",")&amp;",")),"●","")</f>
        <v/>
      </c>
      <c r="Y24" s="11" t="str">
        <f aca="false">IF(ISNUMBER(SEARCH(","&amp;$A24&amp;",",","&amp;SUBSTITUTE(INDEX(Propuestas!$E$2:$E$35,23),", ",",")&amp;",")),"●","")</f>
        <v/>
      </c>
      <c r="Z24" s="11" t="str">
        <f aca="false">IF(ISNUMBER(SEARCH(","&amp;$A24&amp;",",","&amp;SUBSTITUTE(INDEX(Propuestas!$E$2:$E$35,24),", ",",")&amp;",")),"●","")</f>
        <v>●</v>
      </c>
      <c r="AA24" s="11" t="str">
        <f aca="false">IF(ISNUMBER(SEARCH(","&amp;$A24&amp;",",","&amp;SUBSTITUTE(INDEX(Propuestas!$E$2:$E$35,25),", ",",")&amp;",")),"●","")</f>
        <v/>
      </c>
      <c r="AB24" s="11" t="str">
        <f aca="false">IF(ISNUMBER(SEARCH(","&amp;$A24&amp;",",","&amp;SUBSTITUTE(INDEX(Propuestas!$E$2:$E$35,26),", ",",")&amp;",")),"●","")</f>
        <v/>
      </c>
      <c r="AC24" s="11" t="str">
        <f aca="false">IF(ISNUMBER(SEARCH(","&amp;$A24&amp;",",","&amp;SUBSTITUTE(INDEX(Propuestas!$E$2:$E$35,27),", ",",")&amp;",")),"●","")</f>
        <v>●</v>
      </c>
      <c r="AD24" s="11" t="str">
        <f aca="false">IF(ISNUMBER(SEARCH(","&amp;$A24&amp;",",","&amp;SUBSTITUTE(INDEX(Propuestas!$E$2:$E$35,28),", ",",")&amp;",")),"●","")</f>
        <v/>
      </c>
      <c r="AE24" s="11" t="str">
        <f aca="false">IF(ISNUMBER(SEARCH(","&amp;$A24&amp;",",","&amp;SUBSTITUTE(INDEX(Propuestas!$E$2:$E$35,29),", ",",")&amp;",")),"●","")</f>
        <v>●</v>
      </c>
      <c r="AF24" s="11" t="str">
        <f aca="false">IF(ISNUMBER(SEARCH(","&amp;$A24&amp;",",","&amp;SUBSTITUTE(INDEX(Propuestas!$E$2:$E$35,30),", ",",")&amp;",")),"●","")</f>
        <v/>
      </c>
      <c r="AG24" s="11" t="str">
        <f aca="false">IF(ISNUMBER(SEARCH(","&amp;$A24&amp;",",","&amp;SUBSTITUTE(INDEX(Propuestas!$E$2:$E$35,31),", ",",")&amp;",")),"●","")</f>
        <v/>
      </c>
      <c r="AH24" s="11" t="str">
        <f aca="false">IF(ISNUMBER(SEARCH(","&amp;$A24&amp;",",","&amp;SUBSTITUTE(INDEX(Propuestas!$E$2:$E$35,32),", ",",")&amp;",")),"●","")</f>
        <v/>
      </c>
      <c r="AI24" s="11" t="str">
        <f aca="false">IF(ISNUMBER(SEARCH(","&amp;$A24&amp;",",","&amp;SUBSTITUTE(INDEX(Propuestas!$E$2:$E$35,33),", ",",")&amp;",")),"●","")</f>
        <v/>
      </c>
      <c r="AJ24" s="11" t="str">
        <f aca="false">IF(ISNUMBER(SEARCH(","&amp;$A24&amp;",",","&amp;SUBSTITUTE(INDEX(Propuestas!$E$2:$E$35,34),", ",",")&amp;",")),"●","")</f>
        <v/>
      </c>
      <c r="AK24" s="10" t="n">
        <f aca="false">COUNTIF(C24:AJ24,"●")</f>
        <v>9</v>
      </c>
    </row>
    <row r="25" customFormat="false" ht="15" hidden="false" customHeight="false" outlineLevel="0" collapsed="false">
      <c r="A25" s="10" t="s">
        <v>513</v>
      </c>
      <c r="B25" s="10" t="n">
        <f aca="false">INDEX(Sindicatos!F:F,MATCH(A25,Sindicatos!A:A,0))</f>
        <v>3</v>
      </c>
      <c r="C25" s="11" t="str">
        <f aca="false">IF(ISNUMBER(SEARCH(","&amp;$A25&amp;",",","&amp;SUBSTITUTE(INDEX(Propuestas!$E$2:$E$35,1),", ",",")&amp;",")),"●","")</f>
        <v/>
      </c>
      <c r="D25" s="11" t="str">
        <f aca="false">IF(ISNUMBER(SEARCH(","&amp;$A25&amp;",",","&amp;SUBSTITUTE(INDEX(Propuestas!$E$2:$E$35,2),", ",",")&amp;",")),"●","")</f>
        <v/>
      </c>
      <c r="E25" s="11" t="str">
        <f aca="false">IF(ISNUMBER(SEARCH(","&amp;$A25&amp;",",","&amp;SUBSTITUTE(INDEX(Propuestas!$E$2:$E$35,3),", ",",")&amp;",")),"●","")</f>
        <v>●</v>
      </c>
      <c r="F25" s="11" t="str">
        <f aca="false">IF(ISNUMBER(SEARCH(","&amp;$A25&amp;",",","&amp;SUBSTITUTE(INDEX(Propuestas!$E$2:$E$35,4),", ",",")&amp;",")),"●","")</f>
        <v/>
      </c>
      <c r="G25" s="11" t="str">
        <f aca="false">IF(ISNUMBER(SEARCH(","&amp;$A25&amp;",",","&amp;SUBSTITUTE(INDEX(Propuestas!$E$2:$E$35,5),", ",",")&amp;",")),"●","")</f>
        <v/>
      </c>
      <c r="H25" s="11" t="str">
        <f aca="false">IF(ISNUMBER(SEARCH(","&amp;$A25&amp;",",","&amp;SUBSTITUTE(INDEX(Propuestas!$E$2:$E$35,6),", ",",")&amp;",")),"●","")</f>
        <v/>
      </c>
      <c r="I25" s="11" t="str">
        <f aca="false">IF(ISNUMBER(SEARCH(","&amp;$A25&amp;",",","&amp;SUBSTITUTE(INDEX(Propuestas!$E$2:$E$35,7),", ",",")&amp;",")),"●","")</f>
        <v/>
      </c>
      <c r="J25" s="11" t="str">
        <f aca="false">IF(ISNUMBER(SEARCH(","&amp;$A25&amp;",",","&amp;SUBSTITUTE(INDEX(Propuestas!$E$2:$E$35,8),", ",",")&amp;",")),"●","")</f>
        <v/>
      </c>
      <c r="K25" s="11" t="str">
        <f aca="false">IF(ISNUMBER(SEARCH(","&amp;$A25&amp;",",","&amp;SUBSTITUTE(INDEX(Propuestas!$E$2:$E$35,9),", ",",")&amp;",")),"●","")</f>
        <v/>
      </c>
      <c r="L25" s="11" t="str">
        <f aca="false">IF(ISNUMBER(SEARCH(","&amp;$A25&amp;",",","&amp;SUBSTITUTE(INDEX(Propuestas!$E$2:$E$35,10),", ",",")&amp;",")),"●","")</f>
        <v/>
      </c>
      <c r="M25" s="11" t="str">
        <f aca="false">IF(ISNUMBER(SEARCH(","&amp;$A25&amp;",",","&amp;SUBSTITUTE(INDEX(Propuestas!$E$2:$E$35,11),", ",",")&amp;",")),"●","")</f>
        <v/>
      </c>
      <c r="N25" s="11" t="str">
        <f aca="false">IF(ISNUMBER(SEARCH(","&amp;$A25&amp;",",","&amp;SUBSTITUTE(INDEX(Propuestas!$E$2:$E$35,12),", ",",")&amp;",")),"●","")</f>
        <v/>
      </c>
      <c r="O25" s="11" t="str">
        <f aca="false">IF(ISNUMBER(SEARCH(","&amp;$A25&amp;",",","&amp;SUBSTITUTE(INDEX(Propuestas!$E$2:$E$35,13),", ",",")&amp;",")),"●","")</f>
        <v/>
      </c>
      <c r="P25" s="11" t="str">
        <f aca="false">IF(ISNUMBER(SEARCH(","&amp;$A25&amp;",",","&amp;SUBSTITUTE(INDEX(Propuestas!$E$2:$E$35,14),", ",",")&amp;",")),"●","")</f>
        <v/>
      </c>
      <c r="Q25" s="11" t="str">
        <f aca="false">IF(ISNUMBER(SEARCH(","&amp;$A25&amp;",",","&amp;SUBSTITUTE(INDEX(Propuestas!$E$2:$E$35,15),", ",",")&amp;",")),"●","")</f>
        <v>●</v>
      </c>
      <c r="R25" s="11" t="str">
        <f aca="false">IF(ISNUMBER(SEARCH(","&amp;$A25&amp;",",","&amp;SUBSTITUTE(INDEX(Propuestas!$E$2:$E$35,16),", ",",")&amp;",")),"●","")</f>
        <v/>
      </c>
      <c r="S25" s="11" t="str">
        <f aca="false">IF(ISNUMBER(SEARCH(","&amp;$A25&amp;",",","&amp;SUBSTITUTE(INDEX(Propuestas!$E$2:$E$35,17),", ",",")&amp;",")),"●","")</f>
        <v/>
      </c>
      <c r="T25" s="11" t="str">
        <f aca="false">IF(ISNUMBER(SEARCH(","&amp;$A25&amp;",",","&amp;SUBSTITUTE(INDEX(Propuestas!$E$2:$E$35,18),", ",",")&amp;",")),"●","")</f>
        <v/>
      </c>
      <c r="U25" s="11" t="str">
        <f aca="false">IF(ISNUMBER(SEARCH(","&amp;$A25&amp;",",","&amp;SUBSTITUTE(INDEX(Propuestas!$E$2:$E$35,19),", ",",")&amp;",")),"●","")</f>
        <v/>
      </c>
      <c r="V25" s="11" t="str">
        <f aca="false">IF(ISNUMBER(SEARCH(","&amp;$A25&amp;",",","&amp;SUBSTITUTE(INDEX(Propuestas!$E$2:$E$35,20),", ",",")&amp;",")),"●","")</f>
        <v>●</v>
      </c>
      <c r="W25" s="11" t="str">
        <f aca="false">IF(ISNUMBER(SEARCH(","&amp;$A25&amp;",",","&amp;SUBSTITUTE(INDEX(Propuestas!$E$2:$E$35,21),", ",",")&amp;",")),"●","")</f>
        <v>●</v>
      </c>
      <c r="X25" s="11" t="str">
        <f aca="false">IF(ISNUMBER(SEARCH(","&amp;$A25&amp;",",","&amp;SUBSTITUTE(INDEX(Propuestas!$E$2:$E$35,22),", ",",")&amp;",")),"●","")</f>
        <v>●</v>
      </c>
      <c r="Y25" s="11" t="str">
        <f aca="false">IF(ISNUMBER(SEARCH(","&amp;$A25&amp;",",","&amp;SUBSTITUTE(INDEX(Propuestas!$E$2:$E$35,23),", ",",")&amp;",")),"●","")</f>
        <v>●</v>
      </c>
      <c r="Z25" s="11" t="str">
        <f aca="false">IF(ISNUMBER(SEARCH(","&amp;$A25&amp;",",","&amp;SUBSTITUTE(INDEX(Propuestas!$E$2:$E$35,24),", ",",")&amp;",")),"●","")</f>
        <v/>
      </c>
      <c r="AA25" s="11" t="str">
        <f aca="false">IF(ISNUMBER(SEARCH(","&amp;$A25&amp;",",","&amp;SUBSTITUTE(INDEX(Propuestas!$E$2:$E$35,25),", ",",")&amp;",")),"●","")</f>
        <v/>
      </c>
      <c r="AB25" s="11" t="str">
        <f aca="false">IF(ISNUMBER(SEARCH(","&amp;$A25&amp;",",","&amp;SUBSTITUTE(INDEX(Propuestas!$E$2:$E$35,26),", ",",")&amp;",")),"●","")</f>
        <v/>
      </c>
      <c r="AC25" s="11" t="str">
        <f aca="false">IF(ISNUMBER(SEARCH(","&amp;$A25&amp;",",","&amp;SUBSTITUTE(INDEX(Propuestas!$E$2:$E$35,27),", ",",")&amp;",")),"●","")</f>
        <v/>
      </c>
      <c r="AD25" s="11" t="str">
        <f aca="false">IF(ISNUMBER(SEARCH(","&amp;$A25&amp;",",","&amp;SUBSTITUTE(INDEX(Propuestas!$E$2:$E$35,28),", ",",")&amp;",")),"●","")</f>
        <v/>
      </c>
      <c r="AE25" s="11" t="str">
        <f aca="false">IF(ISNUMBER(SEARCH(","&amp;$A25&amp;",",","&amp;SUBSTITUTE(INDEX(Propuestas!$E$2:$E$35,29),", ",",")&amp;",")),"●","")</f>
        <v/>
      </c>
      <c r="AF25" s="11" t="str">
        <f aca="false">IF(ISNUMBER(SEARCH(","&amp;$A25&amp;",",","&amp;SUBSTITUTE(INDEX(Propuestas!$E$2:$E$35,30),", ",",")&amp;",")),"●","")</f>
        <v>●</v>
      </c>
      <c r="AG25" s="11" t="str">
        <f aca="false">IF(ISNUMBER(SEARCH(","&amp;$A25&amp;",",","&amp;SUBSTITUTE(INDEX(Propuestas!$E$2:$E$35,31),", ",",")&amp;",")),"●","")</f>
        <v/>
      </c>
      <c r="AH25" s="11" t="str">
        <f aca="false">IF(ISNUMBER(SEARCH(","&amp;$A25&amp;",",","&amp;SUBSTITUTE(INDEX(Propuestas!$E$2:$E$35,32),", ",",")&amp;",")),"●","")</f>
        <v/>
      </c>
      <c r="AI25" s="11" t="str">
        <f aca="false">IF(ISNUMBER(SEARCH(","&amp;$A25&amp;",",","&amp;SUBSTITUTE(INDEX(Propuestas!$E$2:$E$35,33),", ",",")&amp;",")),"●","")</f>
        <v/>
      </c>
      <c r="AJ25" s="11" t="str">
        <f aca="false">IF(ISNUMBER(SEARCH(","&amp;$A25&amp;",",","&amp;SUBSTITUTE(INDEX(Propuestas!$E$2:$E$35,34),", ",",")&amp;",")),"●","")</f>
        <v/>
      </c>
      <c r="AK25" s="10" t="n">
        <f aca="false">COUNTIF(C25:AJ25,"●")</f>
        <v>7</v>
      </c>
    </row>
    <row r="26" customFormat="false" ht="15" hidden="false" customHeight="false" outlineLevel="0" collapsed="false">
      <c r="A26" s="10" t="s">
        <v>521</v>
      </c>
      <c r="B26" s="10" t="n">
        <f aca="false">INDEX(Sindicatos!F:F,MATCH(A26,Sindicatos!A:A,0))</f>
        <v>3</v>
      </c>
      <c r="C26" s="11" t="str">
        <f aca="false">IF(ISNUMBER(SEARCH(","&amp;$A26&amp;",",","&amp;SUBSTITUTE(INDEX(Propuestas!$E$2:$E$35,1),", ",",")&amp;",")),"●","")</f>
        <v/>
      </c>
      <c r="D26" s="11" t="str">
        <f aca="false">IF(ISNUMBER(SEARCH(","&amp;$A26&amp;",",","&amp;SUBSTITUTE(INDEX(Propuestas!$E$2:$E$35,2),", ",",")&amp;",")),"●","")</f>
        <v>●</v>
      </c>
      <c r="E26" s="11" t="str">
        <f aca="false">IF(ISNUMBER(SEARCH(","&amp;$A26&amp;",",","&amp;SUBSTITUTE(INDEX(Propuestas!$E$2:$E$35,3),", ",",")&amp;",")),"●","")</f>
        <v/>
      </c>
      <c r="F26" s="11" t="str">
        <f aca="false">IF(ISNUMBER(SEARCH(","&amp;$A26&amp;",",","&amp;SUBSTITUTE(INDEX(Propuestas!$E$2:$E$35,4),", ",",")&amp;",")),"●","")</f>
        <v/>
      </c>
      <c r="G26" s="11" t="str">
        <f aca="false">IF(ISNUMBER(SEARCH(","&amp;$A26&amp;",",","&amp;SUBSTITUTE(INDEX(Propuestas!$E$2:$E$35,5),", ",",")&amp;",")),"●","")</f>
        <v/>
      </c>
      <c r="H26" s="11" t="str">
        <f aca="false">IF(ISNUMBER(SEARCH(","&amp;$A26&amp;",",","&amp;SUBSTITUTE(INDEX(Propuestas!$E$2:$E$35,6),", ",",")&amp;",")),"●","")</f>
        <v/>
      </c>
      <c r="I26" s="11" t="str">
        <f aca="false">IF(ISNUMBER(SEARCH(","&amp;$A26&amp;",",","&amp;SUBSTITUTE(INDEX(Propuestas!$E$2:$E$35,7),", ",",")&amp;",")),"●","")</f>
        <v/>
      </c>
      <c r="J26" s="11" t="str">
        <f aca="false">IF(ISNUMBER(SEARCH(","&amp;$A26&amp;",",","&amp;SUBSTITUTE(INDEX(Propuestas!$E$2:$E$35,8),", ",",")&amp;",")),"●","")</f>
        <v/>
      </c>
      <c r="K26" s="11" t="str">
        <f aca="false">IF(ISNUMBER(SEARCH(","&amp;$A26&amp;",",","&amp;SUBSTITUTE(INDEX(Propuestas!$E$2:$E$35,9),", ",",")&amp;",")),"●","")</f>
        <v/>
      </c>
      <c r="L26" s="11" t="str">
        <f aca="false">IF(ISNUMBER(SEARCH(","&amp;$A26&amp;",",","&amp;SUBSTITUTE(INDEX(Propuestas!$E$2:$E$35,10),", ",",")&amp;",")),"●","")</f>
        <v>●</v>
      </c>
      <c r="M26" s="11" t="str">
        <f aca="false">IF(ISNUMBER(SEARCH(","&amp;$A26&amp;",",","&amp;SUBSTITUTE(INDEX(Propuestas!$E$2:$E$35,11),", ",",")&amp;",")),"●","")</f>
        <v/>
      </c>
      <c r="N26" s="11" t="str">
        <f aca="false">IF(ISNUMBER(SEARCH(","&amp;$A26&amp;",",","&amp;SUBSTITUTE(INDEX(Propuestas!$E$2:$E$35,12),", ",",")&amp;",")),"●","")</f>
        <v>●</v>
      </c>
      <c r="O26" s="11" t="str">
        <f aca="false">IF(ISNUMBER(SEARCH(","&amp;$A26&amp;",",","&amp;SUBSTITUTE(INDEX(Propuestas!$E$2:$E$35,13),", ",",")&amp;",")),"●","")</f>
        <v/>
      </c>
      <c r="P26" s="11" t="str">
        <f aca="false">IF(ISNUMBER(SEARCH(","&amp;$A26&amp;",",","&amp;SUBSTITUTE(INDEX(Propuestas!$E$2:$E$35,14),", ",",")&amp;",")),"●","")</f>
        <v>●</v>
      </c>
      <c r="Q26" s="11" t="str">
        <f aca="false">IF(ISNUMBER(SEARCH(","&amp;$A26&amp;",",","&amp;SUBSTITUTE(INDEX(Propuestas!$E$2:$E$35,15),", ",",")&amp;",")),"●","")</f>
        <v>●</v>
      </c>
      <c r="R26" s="11" t="str">
        <f aca="false">IF(ISNUMBER(SEARCH(","&amp;$A26&amp;",",","&amp;SUBSTITUTE(INDEX(Propuestas!$E$2:$E$35,16),", ",",")&amp;",")),"●","")</f>
        <v/>
      </c>
      <c r="S26" s="11" t="str">
        <f aca="false">IF(ISNUMBER(SEARCH(","&amp;$A26&amp;",",","&amp;SUBSTITUTE(INDEX(Propuestas!$E$2:$E$35,17),", ",",")&amp;",")),"●","")</f>
        <v/>
      </c>
      <c r="T26" s="11" t="str">
        <f aca="false">IF(ISNUMBER(SEARCH(","&amp;$A26&amp;",",","&amp;SUBSTITUTE(INDEX(Propuestas!$E$2:$E$35,18),", ",",")&amp;",")),"●","")</f>
        <v/>
      </c>
      <c r="U26" s="11" t="str">
        <f aca="false">IF(ISNUMBER(SEARCH(","&amp;$A26&amp;",",","&amp;SUBSTITUTE(INDEX(Propuestas!$E$2:$E$35,19),", ",",")&amp;",")),"●","")</f>
        <v/>
      </c>
      <c r="V26" s="11" t="str">
        <f aca="false">IF(ISNUMBER(SEARCH(","&amp;$A26&amp;",",","&amp;SUBSTITUTE(INDEX(Propuestas!$E$2:$E$35,20),", ",",")&amp;",")),"●","")</f>
        <v>●</v>
      </c>
      <c r="W26" s="11" t="str">
        <f aca="false">IF(ISNUMBER(SEARCH(","&amp;$A26&amp;",",","&amp;SUBSTITUTE(INDEX(Propuestas!$E$2:$E$35,21),", ",",")&amp;",")),"●","")</f>
        <v>●</v>
      </c>
      <c r="X26" s="11" t="str">
        <f aca="false">IF(ISNUMBER(SEARCH(","&amp;$A26&amp;",",","&amp;SUBSTITUTE(INDEX(Propuestas!$E$2:$E$35,22),", ",",")&amp;",")),"●","")</f>
        <v/>
      </c>
      <c r="Y26" s="11" t="str">
        <f aca="false">IF(ISNUMBER(SEARCH(","&amp;$A26&amp;",",","&amp;SUBSTITUTE(INDEX(Propuestas!$E$2:$E$35,23),", ",",")&amp;",")),"●","")</f>
        <v>●</v>
      </c>
      <c r="Z26" s="11" t="str">
        <f aca="false">IF(ISNUMBER(SEARCH(","&amp;$A26&amp;",",","&amp;SUBSTITUTE(INDEX(Propuestas!$E$2:$E$35,24),", ",",")&amp;",")),"●","")</f>
        <v/>
      </c>
      <c r="AA26" s="11" t="str">
        <f aca="false">IF(ISNUMBER(SEARCH(","&amp;$A26&amp;",",","&amp;SUBSTITUTE(INDEX(Propuestas!$E$2:$E$35,25),", ",",")&amp;",")),"●","")</f>
        <v/>
      </c>
      <c r="AB26" s="11" t="str">
        <f aca="false">IF(ISNUMBER(SEARCH(","&amp;$A26&amp;",",","&amp;SUBSTITUTE(INDEX(Propuestas!$E$2:$E$35,26),", ",",")&amp;",")),"●","")</f>
        <v/>
      </c>
      <c r="AC26" s="11" t="str">
        <f aca="false">IF(ISNUMBER(SEARCH(","&amp;$A26&amp;",",","&amp;SUBSTITUTE(INDEX(Propuestas!$E$2:$E$35,27),", ",",")&amp;",")),"●","")</f>
        <v/>
      </c>
      <c r="AD26" s="11" t="str">
        <f aca="false">IF(ISNUMBER(SEARCH(","&amp;$A26&amp;",",","&amp;SUBSTITUTE(INDEX(Propuestas!$E$2:$E$35,28),", ",",")&amp;",")),"●","")</f>
        <v/>
      </c>
      <c r="AE26" s="11" t="str">
        <f aca="false">IF(ISNUMBER(SEARCH(","&amp;$A26&amp;",",","&amp;SUBSTITUTE(INDEX(Propuestas!$E$2:$E$35,29),", ",",")&amp;",")),"●","")</f>
        <v>●</v>
      </c>
      <c r="AF26" s="11" t="str">
        <f aca="false">IF(ISNUMBER(SEARCH(","&amp;$A26&amp;",",","&amp;SUBSTITUTE(INDEX(Propuestas!$E$2:$E$35,30),", ",",")&amp;",")),"●","")</f>
        <v/>
      </c>
      <c r="AG26" s="11" t="str">
        <f aca="false">IF(ISNUMBER(SEARCH(","&amp;$A26&amp;",",","&amp;SUBSTITUTE(INDEX(Propuestas!$E$2:$E$35,31),", ",",")&amp;",")),"●","")</f>
        <v/>
      </c>
      <c r="AH26" s="11" t="str">
        <f aca="false">IF(ISNUMBER(SEARCH(","&amp;$A26&amp;",",","&amp;SUBSTITUTE(INDEX(Propuestas!$E$2:$E$35,32),", ",",")&amp;",")),"●","")</f>
        <v/>
      </c>
      <c r="AI26" s="11" t="str">
        <f aca="false">IF(ISNUMBER(SEARCH(","&amp;$A26&amp;",",","&amp;SUBSTITUTE(INDEX(Propuestas!$E$2:$E$35,33),", ",",")&amp;",")),"●","")</f>
        <v/>
      </c>
      <c r="AJ26" s="11" t="str">
        <f aca="false">IF(ISNUMBER(SEARCH(","&amp;$A26&amp;",",","&amp;SUBSTITUTE(INDEX(Propuestas!$E$2:$E$35,34),", ",",")&amp;",")),"●","")</f>
        <v/>
      </c>
      <c r="AK26" s="10" t="n">
        <f aca="false">COUNTIF(C26:AJ26,"●")</f>
        <v>9</v>
      </c>
    </row>
    <row r="27" customFormat="false" ht="15" hidden="false" customHeight="false" outlineLevel="0" collapsed="false">
      <c r="A27" s="10" t="s">
        <v>530</v>
      </c>
      <c r="B27" s="10" t="n">
        <f aca="false">INDEX(Sindicatos!F:F,MATCH(A27,Sindicatos!A:A,0))</f>
        <v>3</v>
      </c>
      <c r="C27" s="11" t="str">
        <f aca="false">IF(ISNUMBER(SEARCH(","&amp;$A27&amp;",",","&amp;SUBSTITUTE(INDEX(Propuestas!$E$2:$E$35,1),", ",",")&amp;",")),"●","")</f>
        <v>●</v>
      </c>
      <c r="D27" s="11" t="str">
        <f aca="false">IF(ISNUMBER(SEARCH(","&amp;$A27&amp;",",","&amp;SUBSTITUTE(INDEX(Propuestas!$E$2:$E$35,2),", ",",")&amp;",")),"●","")</f>
        <v/>
      </c>
      <c r="E27" s="11" t="str">
        <f aca="false">IF(ISNUMBER(SEARCH(","&amp;$A27&amp;",",","&amp;SUBSTITUTE(INDEX(Propuestas!$E$2:$E$35,3),", ",",")&amp;",")),"●","")</f>
        <v/>
      </c>
      <c r="F27" s="11" t="str">
        <f aca="false">IF(ISNUMBER(SEARCH(","&amp;$A27&amp;",",","&amp;SUBSTITUTE(INDEX(Propuestas!$E$2:$E$35,4),", ",",")&amp;",")),"●","")</f>
        <v/>
      </c>
      <c r="G27" s="11" t="str">
        <f aca="false">IF(ISNUMBER(SEARCH(","&amp;$A27&amp;",",","&amp;SUBSTITUTE(INDEX(Propuestas!$E$2:$E$35,5),", ",",")&amp;",")),"●","")</f>
        <v>●</v>
      </c>
      <c r="H27" s="11" t="str">
        <f aca="false">IF(ISNUMBER(SEARCH(","&amp;$A27&amp;",",","&amp;SUBSTITUTE(INDEX(Propuestas!$E$2:$E$35,6),", ",",")&amp;",")),"●","")</f>
        <v>●</v>
      </c>
      <c r="I27" s="11" t="str">
        <f aca="false">IF(ISNUMBER(SEARCH(","&amp;$A27&amp;",",","&amp;SUBSTITUTE(INDEX(Propuestas!$E$2:$E$35,7),", ",",")&amp;",")),"●","")</f>
        <v>●</v>
      </c>
      <c r="J27" s="11" t="str">
        <f aca="false">IF(ISNUMBER(SEARCH(","&amp;$A27&amp;",",","&amp;SUBSTITUTE(INDEX(Propuestas!$E$2:$E$35,8),", ",",")&amp;",")),"●","")</f>
        <v/>
      </c>
      <c r="K27" s="11" t="str">
        <f aca="false">IF(ISNUMBER(SEARCH(","&amp;$A27&amp;",",","&amp;SUBSTITUTE(INDEX(Propuestas!$E$2:$E$35,9),", ",",")&amp;",")),"●","")</f>
        <v/>
      </c>
      <c r="L27" s="11" t="str">
        <f aca="false">IF(ISNUMBER(SEARCH(","&amp;$A27&amp;",",","&amp;SUBSTITUTE(INDEX(Propuestas!$E$2:$E$35,10),", ",",")&amp;",")),"●","")</f>
        <v>●</v>
      </c>
      <c r="M27" s="11" t="str">
        <f aca="false">IF(ISNUMBER(SEARCH(","&amp;$A27&amp;",",","&amp;SUBSTITUTE(INDEX(Propuestas!$E$2:$E$35,11),", ",",")&amp;",")),"●","")</f>
        <v/>
      </c>
      <c r="N27" s="11" t="str">
        <f aca="false">IF(ISNUMBER(SEARCH(","&amp;$A27&amp;",",","&amp;SUBSTITUTE(INDEX(Propuestas!$E$2:$E$35,12),", ",",")&amp;",")),"●","")</f>
        <v/>
      </c>
      <c r="O27" s="11" t="str">
        <f aca="false">IF(ISNUMBER(SEARCH(","&amp;$A27&amp;",",","&amp;SUBSTITUTE(INDEX(Propuestas!$E$2:$E$35,13),", ",",")&amp;",")),"●","")</f>
        <v/>
      </c>
      <c r="P27" s="11" t="str">
        <f aca="false">IF(ISNUMBER(SEARCH(","&amp;$A27&amp;",",","&amp;SUBSTITUTE(INDEX(Propuestas!$E$2:$E$35,14),", ",",")&amp;",")),"●","")</f>
        <v/>
      </c>
      <c r="Q27" s="11" t="str">
        <f aca="false">IF(ISNUMBER(SEARCH(","&amp;$A27&amp;",",","&amp;SUBSTITUTE(INDEX(Propuestas!$E$2:$E$35,15),", ",",")&amp;",")),"●","")</f>
        <v>●</v>
      </c>
      <c r="R27" s="11" t="str">
        <f aca="false">IF(ISNUMBER(SEARCH(","&amp;$A27&amp;",",","&amp;SUBSTITUTE(INDEX(Propuestas!$E$2:$E$35,16),", ",",")&amp;",")),"●","")</f>
        <v/>
      </c>
      <c r="S27" s="11" t="str">
        <f aca="false">IF(ISNUMBER(SEARCH(","&amp;$A27&amp;",",","&amp;SUBSTITUTE(INDEX(Propuestas!$E$2:$E$35,17),", ",",")&amp;",")),"●","")</f>
        <v/>
      </c>
      <c r="T27" s="11" t="str">
        <f aca="false">IF(ISNUMBER(SEARCH(","&amp;$A27&amp;",",","&amp;SUBSTITUTE(INDEX(Propuestas!$E$2:$E$35,18),", ",",")&amp;",")),"●","")</f>
        <v/>
      </c>
      <c r="U27" s="11" t="str">
        <f aca="false">IF(ISNUMBER(SEARCH(","&amp;$A27&amp;",",","&amp;SUBSTITUTE(INDEX(Propuestas!$E$2:$E$35,19),", ",",")&amp;",")),"●","")</f>
        <v>●</v>
      </c>
      <c r="V27" s="11" t="str">
        <f aca="false">IF(ISNUMBER(SEARCH(","&amp;$A27&amp;",",","&amp;SUBSTITUTE(INDEX(Propuestas!$E$2:$E$35,20),", ",",")&amp;",")),"●","")</f>
        <v>●</v>
      </c>
      <c r="W27" s="11" t="str">
        <f aca="false">IF(ISNUMBER(SEARCH(","&amp;$A27&amp;",",","&amp;SUBSTITUTE(INDEX(Propuestas!$E$2:$E$35,21),", ",",")&amp;",")),"●","")</f>
        <v/>
      </c>
      <c r="X27" s="11" t="str">
        <f aca="false">IF(ISNUMBER(SEARCH(","&amp;$A27&amp;",",","&amp;SUBSTITUTE(INDEX(Propuestas!$E$2:$E$35,22),", ",",")&amp;",")),"●","")</f>
        <v>●</v>
      </c>
      <c r="Y27" s="11" t="str">
        <f aca="false">IF(ISNUMBER(SEARCH(","&amp;$A27&amp;",",","&amp;SUBSTITUTE(INDEX(Propuestas!$E$2:$E$35,23),", ",",")&amp;",")),"●","")</f>
        <v/>
      </c>
      <c r="Z27" s="11" t="str">
        <f aca="false">IF(ISNUMBER(SEARCH(","&amp;$A27&amp;",",","&amp;SUBSTITUTE(INDEX(Propuestas!$E$2:$E$35,24),", ",",")&amp;",")),"●","")</f>
        <v/>
      </c>
      <c r="AA27" s="11" t="str">
        <f aca="false">IF(ISNUMBER(SEARCH(","&amp;$A27&amp;",",","&amp;SUBSTITUTE(INDEX(Propuestas!$E$2:$E$35,25),", ",",")&amp;",")),"●","")</f>
        <v/>
      </c>
      <c r="AB27" s="11" t="str">
        <f aca="false">IF(ISNUMBER(SEARCH(","&amp;$A27&amp;",",","&amp;SUBSTITUTE(INDEX(Propuestas!$E$2:$E$35,26),", ",",")&amp;",")),"●","")</f>
        <v/>
      </c>
      <c r="AC27" s="11" t="str">
        <f aca="false">IF(ISNUMBER(SEARCH(","&amp;$A27&amp;",",","&amp;SUBSTITUTE(INDEX(Propuestas!$E$2:$E$35,27),", ",",")&amp;",")),"●","")</f>
        <v/>
      </c>
      <c r="AD27" s="11" t="str">
        <f aca="false">IF(ISNUMBER(SEARCH(","&amp;$A27&amp;",",","&amp;SUBSTITUTE(INDEX(Propuestas!$E$2:$E$35,28),", ",",")&amp;",")),"●","")</f>
        <v/>
      </c>
      <c r="AE27" s="11" t="str">
        <f aca="false">IF(ISNUMBER(SEARCH(","&amp;$A27&amp;",",","&amp;SUBSTITUTE(INDEX(Propuestas!$E$2:$E$35,29),", ",",")&amp;",")),"●","")</f>
        <v/>
      </c>
      <c r="AF27" s="11" t="str">
        <f aca="false">IF(ISNUMBER(SEARCH(","&amp;$A27&amp;",",","&amp;SUBSTITUTE(INDEX(Propuestas!$E$2:$E$35,30),", ",",")&amp;",")),"●","")</f>
        <v/>
      </c>
      <c r="AG27" s="11" t="str">
        <f aca="false">IF(ISNUMBER(SEARCH(","&amp;$A27&amp;",",","&amp;SUBSTITUTE(INDEX(Propuestas!$E$2:$E$35,31),", ",",")&amp;",")),"●","")</f>
        <v/>
      </c>
      <c r="AH27" s="11" t="str">
        <f aca="false">IF(ISNUMBER(SEARCH(","&amp;$A27&amp;",",","&amp;SUBSTITUTE(INDEX(Propuestas!$E$2:$E$35,32),", ",",")&amp;",")),"●","")</f>
        <v/>
      </c>
      <c r="AI27" s="11" t="str">
        <f aca="false">IF(ISNUMBER(SEARCH(","&amp;$A27&amp;",",","&amp;SUBSTITUTE(INDEX(Propuestas!$E$2:$E$35,33),", ",",")&amp;",")),"●","")</f>
        <v/>
      </c>
      <c r="AJ27" s="11" t="str">
        <f aca="false">IF(ISNUMBER(SEARCH(","&amp;$A27&amp;",",","&amp;SUBSTITUTE(INDEX(Propuestas!$E$2:$E$35,34),", ",",")&amp;",")),"●","")</f>
        <v>●</v>
      </c>
      <c r="AK27" s="10" t="n">
        <f aca="false">COUNTIF(C27:AJ27,"●")</f>
        <v>10</v>
      </c>
    </row>
    <row r="28" customFormat="false" ht="15" hidden="false" customHeight="false" outlineLevel="0" collapsed="false">
      <c r="A28" s="10" t="s">
        <v>538</v>
      </c>
      <c r="B28" s="10" t="n">
        <f aca="false">INDEX(Sindicatos!F:F,MATCH(A28,Sindicatos!A:A,0))</f>
        <v>3</v>
      </c>
      <c r="C28" s="11" t="str">
        <f aca="false">IF(ISNUMBER(SEARCH(","&amp;$A28&amp;",",","&amp;SUBSTITUTE(INDEX(Propuestas!$E$2:$E$35,1),", ",",")&amp;",")),"●","")</f>
        <v/>
      </c>
      <c r="D28" s="11" t="str">
        <f aca="false">IF(ISNUMBER(SEARCH(","&amp;$A28&amp;",",","&amp;SUBSTITUTE(INDEX(Propuestas!$E$2:$E$35,2),", ",",")&amp;",")),"●","")</f>
        <v>●</v>
      </c>
      <c r="E28" s="11" t="str">
        <f aca="false">IF(ISNUMBER(SEARCH(","&amp;$A28&amp;",",","&amp;SUBSTITUTE(INDEX(Propuestas!$E$2:$E$35,3),", ",",")&amp;",")),"●","")</f>
        <v>●</v>
      </c>
      <c r="F28" s="11" t="str">
        <f aca="false">IF(ISNUMBER(SEARCH(","&amp;$A28&amp;",",","&amp;SUBSTITUTE(INDEX(Propuestas!$E$2:$E$35,4),", ",",")&amp;",")),"●","")</f>
        <v>●</v>
      </c>
      <c r="G28" s="11" t="str">
        <f aca="false">IF(ISNUMBER(SEARCH(","&amp;$A28&amp;",",","&amp;SUBSTITUTE(INDEX(Propuestas!$E$2:$E$35,5),", ",",")&amp;",")),"●","")</f>
        <v>●</v>
      </c>
      <c r="H28" s="11" t="str">
        <f aca="false">IF(ISNUMBER(SEARCH(","&amp;$A28&amp;",",","&amp;SUBSTITUTE(INDEX(Propuestas!$E$2:$E$35,6),", ",",")&amp;",")),"●","")</f>
        <v/>
      </c>
      <c r="I28" s="11" t="str">
        <f aca="false">IF(ISNUMBER(SEARCH(","&amp;$A28&amp;",",","&amp;SUBSTITUTE(INDEX(Propuestas!$E$2:$E$35,7),", ",",")&amp;",")),"●","")</f>
        <v/>
      </c>
      <c r="J28" s="11" t="str">
        <f aca="false">IF(ISNUMBER(SEARCH(","&amp;$A28&amp;",",","&amp;SUBSTITUTE(INDEX(Propuestas!$E$2:$E$35,8),", ",",")&amp;",")),"●","")</f>
        <v/>
      </c>
      <c r="K28" s="11" t="str">
        <f aca="false">IF(ISNUMBER(SEARCH(","&amp;$A28&amp;",",","&amp;SUBSTITUTE(INDEX(Propuestas!$E$2:$E$35,9),", ",",")&amp;",")),"●","")</f>
        <v/>
      </c>
      <c r="L28" s="11" t="str">
        <f aca="false">IF(ISNUMBER(SEARCH(","&amp;$A28&amp;",",","&amp;SUBSTITUTE(INDEX(Propuestas!$E$2:$E$35,10),", ",",")&amp;",")),"●","")</f>
        <v>●</v>
      </c>
      <c r="M28" s="11" t="str">
        <f aca="false">IF(ISNUMBER(SEARCH(","&amp;$A28&amp;",",","&amp;SUBSTITUTE(INDEX(Propuestas!$E$2:$E$35,11),", ",",")&amp;",")),"●","")</f>
        <v/>
      </c>
      <c r="N28" s="11" t="str">
        <f aca="false">IF(ISNUMBER(SEARCH(","&amp;$A28&amp;",",","&amp;SUBSTITUTE(INDEX(Propuestas!$E$2:$E$35,12),", ",",")&amp;",")),"●","")</f>
        <v>●</v>
      </c>
      <c r="O28" s="11" t="str">
        <f aca="false">IF(ISNUMBER(SEARCH(","&amp;$A28&amp;",",","&amp;SUBSTITUTE(INDEX(Propuestas!$E$2:$E$35,13),", ",",")&amp;",")),"●","")</f>
        <v/>
      </c>
      <c r="P28" s="11" t="str">
        <f aca="false">IF(ISNUMBER(SEARCH(","&amp;$A28&amp;",",","&amp;SUBSTITUTE(INDEX(Propuestas!$E$2:$E$35,14),", ",",")&amp;",")),"●","")</f>
        <v>●</v>
      </c>
      <c r="Q28" s="11" t="str">
        <f aca="false">IF(ISNUMBER(SEARCH(","&amp;$A28&amp;",",","&amp;SUBSTITUTE(INDEX(Propuestas!$E$2:$E$35,15),", ",",")&amp;",")),"●","")</f>
        <v>●</v>
      </c>
      <c r="R28" s="11" t="str">
        <f aca="false">IF(ISNUMBER(SEARCH(","&amp;$A28&amp;",",","&amp;SUBSTITUTE(INDEX(Propuestas!$E$2:$E$35,16),", ",",")&amp;",")),"●","")</f>
        <v/>
      </c>
      <c r="S28" s="11" t="str">
        <f aca="false">IF(ISNUMBER(SEARCH(","&amp;$A28&amp;",",","&amp;SUBSTITUTE(INDEX(Propuestas!$E$2:$E$35,17),", ",",")&amp;",")),"●","")</f>
        <v>●</v>
      </c>
      <c r="T28" s="11" t="str">
        <f aca="false">IF(ISNUMBER(SEARCH(","&amp;$A28&amp;",",","&amp;SUBSTITUTE(INDEX(Propuestas!$E$2:$E$35,18),", ",",")&amp;",")),"●","")</f>
        <v/>
      </c>
      <c r="U28" s="11" t="str">
        <f aca="false">IF(ISNUMBER(SEARCH(","&amp;$A28&amp;",",","&amp;SUBSTITUTE(INDEX(Propuestas!$E$2:$E$35,19),", ",",")&amp;",")),"●","")</f>
        <v/>
      </c>
      <c r="V28" s="11" t="str">
        <f aca="false">IF(ISNUMBER(SEARCH(","&amp;$A28&amp;",",","&amp;SUBSTITUTE(INDEX(Propuestas!$E$2:$E$35,20),", ",",")&amp;",")),"●","")</f>
        <v>●</v>
      </c>
      <c r="W28" s="11" t="str">
        <f aca="false">IF(ISNUMBER(SEARCH(","&amp;$A28&amp;",",","&amp;SUBSTITUTE(INDEX(Propuestas!$E$2:$E$35,21),", ",",")&amp;",")),"●","")</f>
        <v/>
      </c>
      <c r="X28" s="11" t="str">
        <f aca="false">IF(ISNUMBER(SEARCH(","&amp;$A28&amp;",",","&amp;SUBSTITUTE(INDEX(Propuestas!$E$2:$E$35,22),", ",",")&amp;",")),"●","")</f>
        <v/>
      </c>
      <c r="Y28" s="11" t="str">
        <f aca="false">IF(ISNUMBER(SEARCH(","&amp;$A28&amp;",",","&amp;SUBSTITUTE(INDEX(Propuestas!$E$2:$E$35,23),", ",",")&amp;",")),"●","")</f>
        <v/>
      </c>
      <c r="Z28" s="11" t="str">
        <f aca="false">IF(ISNUMBER(SEARCH(","&amp;$A28&amp;",",","&amp;SUBSTITUTE(INDEX(Propuestas!$E$2:$E$35,24),", ",",")&amp;",")),"●","")</f>
        <v/>
      </c>
      <c r="AA28" s="11" t="str">
        <f aca="false">IF(ISNUMBER(SEARCH(","&amp;$A28&amp;",",","&amp;SUBSTITUTE(INDEX(Propuestas!$E$2:$E$35,25),", ",",")&amp;",")),"●","")</f>
        <v/>
      </c>
      <c r="AB28" s="11" t="str">
        <f aca="false">IF(ISNUMBER(SEARCH(","&amp;$A28&amp;",",","&amp;SUBSTITUTE(INDEX(Propuestas!$E$2:$E$35,26),", ",",")&amp;",")),"●","")</f>
        <v/>
      </c>
      <c r="AC28" s="11" t="str">
        <f aca="false">IF(ISNUMBER(SEARCH(","&amp;$A28&amp;",",","&amp;SUBSTITUTE(INDEX(Propuestas!$E$2:$E$35,27),", ",",")&amp;",")),"●","")</f>
        <v/>
      </c>
      <c r="AD28" s="11" t="str">
        <f aca="false">IF(ISNUMBER(SEARCH(","&amp;$A28&amp;",",","&amp;SUBSTITUTE(INDEX(Propuestas!$E$2:$E$35,28),", ",",")&amp;",")),"●","")</f>
        <v/>
      </c>
      <c r="AE28" s="11" t="str">
        <f aca="false">IF(ISNUMBER(SEARCH(","&amp;$A28&amp;",",","&amp;SUBSTITUTE(INDEX(Propuestas!$E$2:$E$35,29),", ",",")&amp;",")),"●","")</f>
        <v/>
      </c>
      <c r="AF28" s="11" t="str">
        <f aca="false">IF(ISNUMBER(SEARCH(","&amp;$A28&amp;",",","&amp;SUBSTITUTE(INDEX(Propuestas!$E$2:$E$35,30),", ",",")&amp;",")),"●","")</f>
        <v/>
      </c>
      <c r="AG28" s="11" t="str">
        <f aca="false">IF(ISNUMBER(SEARCH(","&amp;$A28&amp;",",","&amp;SUBSTITUTE(INDEX(Propuestas!$E$2:$E$35,31),", ",",")&amp;",")),"●","")</f>
        <v/>
      </c>
      <c r="AH28" s="11" t="str">
        <f aca="false">IF(ISNUMBER(SEARCH(","&amp;$A28&amp;",",","&amp;SUBSTITUTE(INDEX(Propuestas!$E$2:$E$35,32),", ",",")&amp;",")),"●","")</f>
        <v>●</v>
      </c>
      <c r="AI28" s="11" t="str">
        <f aca="false">IF(ISNUMBER(SEARCH(","&amp;$A28&amp;",",","&amp;SUBSTITUTE(INDEX(Propuestas!$E$2:$E$35,33),", ",",")&amp;",")),"●","")</f>
        <v/>
      </c>
      <c r="AJ28" s="11" t="str">
        <f aca="false">IF(ISNUMBER(SEARCH(","&amp;$A28&amp;",",","&amp;SUBSTITUTE(INDEX(Propuestas!$E$2:$E$35,34),", ",",")&amp;",")),"●","")</f>
        <v/>
      </c>
      <c r="AK28" s="10" t="n">
        <f aca="false">COUNTIF(C28:AJ28,"●")</f>
        <v>11</v>
      </c>
    </row>
    <row r="29" customFormat="false" ht="15" hidden="false" customHeight="false" outlineLevel="0" collapsed="false">
      <c r="A29" s="10" t="s">
        <v>547</v>
      </c>
      <c r="B29" s="10" t="n">
        <f aca="false">INDEX(Sindicatos!F:F,MATCH(A29,Sindicatos!A:A,0))</f>
        <v>3</v>
      </c>
      <c r="C29" s="11" t="str">
        <f aca="false">IF(ISNUMBER(SEARCH(","&amp;$A29&amp;",",","&amp;SUBSTITUTE(INDEX(Propuestas!$E$2:$E$35,1),", ",",")&amp;",")),"●","")</f>
        <v>●</v>
      </c>
      <c r="D29" s="11" t="str">
        <f aca="false">IF(ISNUMBER(SEARCH(","&amp;$A29&amp;",",","&amp;SUBSTITUTE(INDEX(Propuestas!$E$2:$E$35,2),", ",",")&amp;",")),"●","")</f>
        <v/>
      </c>
      <c r="E29" s="11" t="str">
        <f aca="false">IF(ISNUMBER(SEARCH(","&amp;$A29&amp;",",","&amp;SUBSTITUTE(INDEX(Propuestas!$E$2:$E$35,3),", ",",")&amp;",")),"●","")</f>
        <v/>
      </c>
      <c r="F29" s="11" t="str">
        <f aca="false">IF(ISNUMBER(SEARCH(","&amp;$A29&amp;",",","&amp;SUBSTITUTE(INDEX(Propuestas!$E$2:$E$35,4),", ",",")&amp;",")),"●","")</f>
        <v>●</v>
      </c>
      <c r="G29" s="11" t="str">
        <f aca="false">IF(ISNUMBER(SEARCH(","&amp;$A29&amp;",",","&amp;SUBSTITUTE(INDEX(Propuestas!$E$2:$E$35,5),", ",",")&amp;",")),"●","")</f>
        <v/>
      </c>
      <c r="H29" s="11" t="str">
        <f aca="false">IF(ISNUMBER(SEARCH(","&amp;$A29&amp;",",","&amp;SUBSTITUTE(INDEX(Propuestas!$E$2:$E$35,6),", ",",")&amp;",")),"●","")</f>
        <v/>
      </c>
      <c r="I29" s="11" t="str">
        <f aca="false">IF(ISNUMBER(SEARCH(","&amp;$A29&amp;",",","&amp;SUBSTITUTE(INDEX(Propuestas!$E$2:$E$35,7),", ",",")&amp;",")),"●","")</f>
        <v/>
      </c>
      <c r="J29" s="11" t="str">
        <f aca="false">IF(ISNUMBER(SEARCH(","&amp;$A29&amp;",",","&amp;SUBSTITUTE(INDEX(Propuestas!$E$2:$E$35,8),", ",",")&amp;",")),"●","")</f>
        <v/>
      </c>
      <c r="K29" s="11" t="str">
        <f aca="false">IF(ISNUMBER(SEARCH(","&amp;$A29&amp;",",","&amp;SUBSTITUTE(INDEX(Propuestas!$E$2:$E$35,9),", ",",")&amp;",")),"●","")</f>
        <v/>
      </c>
      <c r="L29" s="11" t="str">
        <f aca="false">IF(ISNUMBER(SEARCH(","&amp;$A29&amp;",",","&amp;SUBSTITUTE(INDEX(Propuestas!$E$2:$E$35,10),", ",",")&amp;",")),"●","")</f>
        <v/>
      </c>
      <c r="M29" s="11" t="str">
        <f aca="false">IF(ISNUMBER(SEARCH(","&amp;$A29&amp;",",","&amp;SUBSTITUTE(INDEX(Propuestas!$E$2:$E$35,11),", ",",")&amp;",")),"●","")</f>
        <v/>
      </c>
      <c r="N29" s="11" t="str">
        <f aca="false">IF(ISNUMBER(SEARCH(","&amp;$A29&amp;",",","&amp;SUBSTITUTE(INDEX(Propuestas!$E$2:$E$35,12),", ",",")&amp;",")),"●","")</f>
        <v/>
      </c>
      <c r="O29" s="11" t="str">
        <f aca="false">IF(ISNUMBER(SEARCH(","&amp;$A29&amp;",",","&amp;SUBSTITUTE(INDEX(Propuestas!$E$2:$E$35,13),", ",",")&amp;",")),"●","")</f>
        <v/>
      </c>
      <c r="P29" s="11" t="str">
        <f aca="false">IF(ISNUMBER(SEARCH(","&amp;$A29&amp;",",","&amp;SUBSTITUTE(INDEX(Propuestas!$E$2:$E$35,14),", ",",")&amp;",")),"●","")</f>
        <v/>
      </c>
      <c r="Q29" s="11" t="str">
        <f aca="false">IF(ISNUMBER(SEARCH(","&amp;$A29&amp;",",","&amp;SUBSTITUTE(INDEX(Propuestas!$E$2:$E$35,15),", ",",")&amp;",")),"●","")</f>
        <v/>
      </c>
      <c r="R29" s="11" t="str">
        <f aca="false">IF(ISNUMBER(SEARCH(","&amp;$A29&amp;",",","&amp;SUBSTITUTE(INDEX(Propuestas!$E$2:$E$35,16),", ",",")&amp;",")),"●","")</f>
        <v/>
      </c>
      <c r="S29" s="11" t="str">
        <f aca="false">IF(ISNUMBER(SEARCH(","&amp;$A29&amp;",",","&amp;SUBSTITUTE(INDEX(Propuestas!$E$2:$E$35,17),", ",",")&amp;",")),"●","")</f>
        <v/>
      </c>
      <c r="T29" s="11" t="str">
        <f aca="false">IF(ISNUMBER(SEARCH(","&amp;$A29&amp;",",","&amp;SUBSTITUTE(INDEX(Propuestas!$E$2:$E$35,18),", ",",")&amp;",")),"●","")</f>
        <v/>
      </c>
      <c r="U29" s="11" t="str">
        <f aca="false">IF(ISNUMBER(SEARCH(","&amp;$A29&amp;",",","&amp;SUBSTITUTE(INDEX(Propuestas!$E$2:$E$35,19),", ",",")&amp;",")),"●","")</f>
        <v/>
      </c>
      <c r="V29" s="11" t="str">
        <f aca="false">IF(ISNUMBER(SEARCH(","&amp;$A29&amp;",",","&amp;SUBSTITUTE(INDEX(Propuestas!$E$2:$E$35,20),", ",",")&amp;",")),"●","")</f>
        <v>●</v>
      </c>
      <c r="W29" s="11" t="str">
        <f aca="false">IF(ISNUMBER(SEARCH(","&amp;$A29&amp;",",","&amp;SUBSTITUTE(INDEX(Propuestas!$E$2:$E$35,21),", ",",")&amp;",")),"●","")</f>
        <v/>
      </c>
      <c r="X29" s="11" t="str">
        <f aca="false">IF(ISNUMBER(SEARCH(","&amp;$A29&amp;",",","&amp;SUBSTITUTE(INDEX(Propuestas!$E$2:$E$35,22),", ",",")&amp;",")),"●","")</f>
        <v/>
      </c>
      <c r="Y29" s="11" t="str">
        <f aca="false">IF(ISNUMBER(SEARCH(","&amp;$A29&amp;",",","&amp;SUBSTITUTE(INDEX(Propuestas!$E$2:$E$35,23),", ",",")&amp;",")),"●","")</f>
        <v/>
      </c>
      <c r="Z29" s="11" t="str">
        <f aca="false">IF(ISNUMBER(SEARCH(","&amp;$A29&amp;",",","&amp;SUBSTITUTE(INDEX(Propuestas!$E$2:$E$35,24),", ",",")&amp;",")),"●","")</f>
        <v>●</v>
      </c>
      <c r="AA29" s="11" t="str">
        <f aca="false">IF(ISNUMBER(SEARCH(","&amp;$A29&amp;",",","&amp;SUBSTITUTE(INDEX(Propuestas!$E$2:$E$35,25),", ",",")&amp;",")),"●","")</f>
        <v/>
      </c>
      <c r="AB29" s="11" t="str">
        <f aca="false">IF(ISNUMBER(SEARCH(","&amp;$A29&amp;",",","&amp;SUBSTITUTE(INDEX(Propuestas!$E$2:$E$35,26),", ",",")&amp;",")),"●","")</f>
        <v/>
      </c>
      <c r="AC29" s="11" t="str">
        <f aca="false">IF(ISNUMBER(SEARCH(","&amp;$A29&amp;",",","&amp;SUBSTITUTE(INDEX(Propuestas!$E$2:$E$35,27),", ",",")&amp;",")),"●","")</f>
        <v>●</v>
      </c>
      <c r="AD29" s="11" t="str">
        <f aca="false">IF(ISNUMBER(SEARCH(","&amp;$A29&amp;",",","&amp;SUBSTITUTE(INDEX(Propuestas!$E$2:$E$35,28),", ",",")&amp;",")),"●","")</f>
        <v/>
      </c>
      <c r="AE29" s="11" t="str">
        <f aca="false">IF(ISNUMBER(SEARCH(","&amp;$A29&amp;",",","&amp;SUBSTITUTE(INDEX(Propuestas!$E$2:$E$35,29),", ",",")&amp;",")),"●","")</f>
        <v>●</v>
      </c>
      <c r="AF29" s="11" t="str">
        <f aca="false">IF(ISNUMBER(SEARCH(","&amp;$A29&amp;",",","&amp;SUBSTITUTE(INDEX(Propuestas!$E$2:$E$35,30),", ",",")&amp;",")),"●","")</f>
        <v/>
      </c>
      <c r="AG29" s="11" t="str">
        <f aca="false">IF(ISNUMBER(SEARCH(","&amp;$A29&amp;",",","&amp;SUBSTITUTE(INDEX(Propuestas!$E$2:$E$35,31),", ",",")&amp;",")),"●","")</f>
        <v/>
      </c>
      <c r="AH29" s="11" t="str">
        <f aca="false">IF(ISNUMBER(SEARCH(","&amp;$A29&amp;",",","&amp;SUBSTITUTE(INDEX(Propuestas!$E$2:$E$35,32),", ",",")&amp;",")),"●","")</f>
        <v/>
      </c>
      <c r="AI29" s="11" t="str">
        <f aca="false">IF(ISNUMBER(SEARCH(","&amp;$A29&amp;",",","&amp;SUBSTITUTE(INDEX(Propuestas!$E$2:$E$35,33),", ",",")&amp;",")),"●","")</f>
        <v/>
      </c>
      <c r="AJ29" s="11" t="str">
        <f aca="false">IF(ISNUMBER(SEARCH(","&amp;$A29&amp;",",","&amp;SUBSTITUTE(INDEX(Propuestas!$E$2:$E$35,34),", ",",")&amp;",")),"●","")</f>
        <v>●</v>
      </c>
      <c r="AK29" s="10" t="n">
        <f aca="false">COUNTIF(C29:AJ29,"●")</f>
        <v>7</v>
      </c>
    </row>
    <row r="30" customFormat="false" ht="15" hidden="false" customHeight="false" outlineLevel="0" collapsed="false">
      <c r="A30" s="10" t="s">
        <v>556</v>
      </c>
      <c r="B30" s="10" t="n">
        <f aca="false">INDEX(Sindicatos!F:F,MATCH(A30,Sindicatos!A:A,0))</f>
        <v>3</v>
      </c>
      <c r="C30" s="11" t="str">
        <f aca="false">IF(ISNUMBER(SEARCH(","&amp;$A30&amp;",",","&amp;SUBSTITUTE(INDEX(Propuestas!$E$2:$E$35,1),", ",",")&amp;",")),"●","")</f>
        <v/>
      </c>
      <c r="D30" s="11" t="str">
        <f aca="false">IF(ISNUMBER(SEARCH(","&amp;$A30&amp;",",","&amp;SUBSTITUTE(INDEX(Propuestas!$E$2:$E$35,2),", ",",")&amp;",")),"●","")</f>
        <v>●</v>
      </c>
      <c r="E30" s="11" t="str">
        <f aca="false">IF(ISNUMBER(SEARCH(","&amp;$A30&amp;",",","&amp;SUBSTITUTE(INDEX(Propuestas!$E$2:$E$35,3),", ",",")&amp;",")),"●","")</f>
        <v/>
      </c>
      <c r="F30" s="11" t="str">
        <f aca="false">IF(ISNUMBER(SEARCH(","&amp;$A30&amp;",",","&amp;SUBSTITUTE(INDEX(Propuestas!$E$2:$E$35,4),", ",",")&amp;",")),"●","")</f>
        <v>●</v>
      </c>
      <c r="G30" s="11" t="str">
        <f aca="false">IF(ISNUMBER(SEARCH(","&amp;$A30&amp;",",","&amp;SUBSTITUTE(INDEX(Propuestas!$E$2:$E$35,5),", ",",")&amp;",")),"●","")</f>
        <v/>
      </c>
      <c r="H30" s="11" t="str">
        <f aca="false">IF(ISNUMBER(SEARCH(","&amp;$A30&amp;",",","&amp;SUBSTITUTE(INDEX(Propuestas!$E$2:$E$35,6),", ",",")&amp;",")),"●","")</f>
        <v/>
      </c>
      <c r="I30" s="11" t="str">
        <f aca="false">IF(ISNUMBER(SEARCH(","&amp;$A30&amp;",",","&amp;SUBSTITUTE(INDEX(Propuestas!$E$2:$E$35,7),", ",",")&amp;",")),"●","")</f>
        <v/>
      </c>
      <c r="J30" s="11" t="str">
        <f aca="false">IF(ISNUMBER(SEARCH(","&amp;$A30&amp;",",","&amp;SUBSTITUTE(INDEX(Propuestas!$E$2:$E$35,8),", ",",")&amp;",")),"●","")</f>
        <v/>
      </c>
      <c r="K30" s="11" t="str">
        <f aca="false">IF(ISNUMBER(SEARCH(","&amp;$A30&amp;",",","&amp;SUBSTITUTE(INDEX(Propuestas!$E$2:$E$35,9),", ",",")&amp;",")),"●","")</f>
        <v/>
      </c>
      <c r="L30" s="11" t="str">
        <f aca="false">IF(ISNUMBER(SEARCH(","&amp;$A30&amp;",",","&amp;SUBSTITUTE(INDEX(Propuestas!$E$2:$E$35,10),", ",",")&amp;",")),"●","")</f>
        <v/>
      </c>
      <c r="M30" s="11" t="str">
        <f aca="false">IF(ISNUMBER(SEARCH(","&amp;$A30&amp;",",","&amp;SUBSTITUTE(INDEX(Propuestas!$E$2:$E$35,11),", ",",")&amp;",")),"●","")</f>
        <v/>
      </c>
      <c r="N30" s="11" t="str">
        <f aca="false">IF(ISNUMBER(SEARCH(","&amp;$A30&amp;",",","&amp;SUBSTITUTE(INDEX(Propuestas!$E$2:$E$35,12),", ",",")&amp;",")),"●","")</f>
        <v/>
      </c>
      <c r="O30" s="11" t="str">
        <f aca="false">IF(ISNUMBER(SEARCH(","&amp;$A30&amp;",",","&amp;SUBSTITUTE(INDEX(Propuestas!$E$2:$E$35,13),", ",",")&amp;",")),"●","")</f>
        <v/>
      </c>
      <c r="P30" s="11" t="str">
        <f aca="false">IF(ISNUMBER(SEARCH(","&amp;$A30&amp;",",","&amp;SUBSTITUTE(INDEX(Propuestas!$E$2:$E$35,14),", ",",")&amp;",")),"●","")</f>
        <v/>
      </c>
      <c r="Q30" s="11" t="str">
        <f aca="false">IF(ISNUMBER(SEARCH(","&amp;$A30&amp;",",","&amp;SUBSTITUTE(INDEX(Propuestas!$E$2:$E$35,15),", ",",")&amp;",")),"●","")</f>
        <v/>
      </c>
      <c r="R30" s="11" t="str">
        <f aca="false">IF(ISNUMBER(SEARCH(","&amp;$A30&amp;",",","&amp;SUBSTITUTE(INDEX(Propuestas!$E$2:$E$35,16),", ",",")&amp;",")),"●","")</f>
        <v/>
      </c>
      <c r="S30" s="11" t="str">
        <f aca="false">IF(ISNUMBER(SEARCH(","&amp;$A30&amp;",",","&amp;SUBSTITUTE(INDEX(Propuestas!$E$2:$E$35,17),", ",",")&amp;",")),"●","")</f>
        <v/>
      </c>
      <c r="T30" s="11" t="str">
        <f aca="false">IF(ISNUMBER(SEARCH(","&amp;$A30&amp;",",","&amp;SUBSTITUTE(INDEX(Propuestas!$E$2:$E$35,18),", ",",")&amp;",")),"●","")</f>
        <v/>
      </c>
      <c r="U30" s="11" t="str">
        <f aca="false">IF(ISNUMBER(SEARCH(","&amp;$A30&amp;",",","&amp;SUBSTITUTE(INDEX(Propuestas!$E$2:$E$35,19),", ",",")&amp;",")),"●","")</f>
        <v>●</v>
      </c>
      <c r="V30" s="11" t="str">
        <f aca="false">IF(ISNUMBER(SEARCH(","&amp;$A30&amp;",",","&amp;SUBSTITUTE(INDEX(Propuestas!$E$2:$E$35,20),", ",",")&amp;",")),"●","")</f>
        <v>●</v>
      </c>
      <c r="W30" s="11" t="str">
        <f aca="false">IF(ISNUMBER(SEARCH(","&amp;$A30&amp;",",","&amp;SUBSTITUTE(INDEX(Propuestas!$E$2:$E$35,21),", ",",")&amp;",")),"●","")</f>
        <v/>
      </c>
      <c r="X30" s="11" t="str">
        <f aca="false">IF(ISNUMBER(SEARCH(","&amp;$A30&amp;",",","&amp;SUBSTITUTE(INDEX(Propuestas!$E$2:$E$35,22),", ",",")&amp;",")),"●","")</f>
        <v/>
      </c>
      <c r="Y30" s="11" t="str">
        <f aca="false">IF(ISNUMBER(SEARCH(","&amp;$A30&amp;",",","&amp;SUBSTITUTE(INDEX(Propuestas!$E$2:$E$35,23),", ",",")&amp;",")),"●","")</f>
        <v/>
      </c>
      <c r="Z30" s="11" t="str">
        <f aca="false">IF(ISNUMBER(SEARCH(","&amp;$A30&amp;",",","&amp;SUBSTITUTE(INDEX(Propuestas!$E$2:$E$35,24),", ",",")&amp;",")),"●","")</f>
        <v>●</v>
      </c>
      <c r="AA30" s="11" t="str">
        <f aca="false">IF(ISNUMBER(SEARCH(","&amp;$A30&amp;",",","&amp;SUBSTITUTE(INDEX(Propuestas!$E$2:$E$35,25),", ",",")&amp;",")),"●","")</f>
        <v/>
      </c>
      <c r="AB30" s="11" t="str">
        <f aca="false">IF(ISNUMBER(SEARCH(","&amp;$A30&amp;",",","&amp;SUBSTITUTE(INDEX(Propuestas!$E$2:$E$35,26),", ",",")&amp;",")),"●","")</f>
        <v/>
      </c>
      <c r="AC30" s="11" t="str">
        <f aca="false">IF(ISNUMBER(SEARCH(","&amp;$A30&amp;",",","&amp;SUBSTITUTE(INDEX(Propuestas!$E$2:$E$35,27),", ",",")&amp;",")),"●","")</f>
        <v/>
      </c>
      <c r="AD30" s="11" t="str">
        <f aca="false">IF(ISNUMBER(SEARCH(","&amp;$A30&amp;",",","&amp;SUBSTITUTE(INDEX(Propuestas!$E$2:$E$35,28),", ",",")&amp;",")),"●","")</f>
        <v/>
      </c>
      <c r="AE30" s="11" t="str">
        <f aca="false">IF(ISNUMBER(SEARCH(","&amp;$A30&amp;",",","&amp;SUBSTITUTE(INDEX(Propuestas!$E$2:$E$35,29),", ",",")&amp;",")),"●","")</f>
        <v/>
      </c>
      <c r="AF30" s="11" t="str">
        <f aca="false">IF(ISNUMBER(SEARCH(","&amp;$A30&amp;",",","&amp;SUBSTITUTE(INDEX(Propuestas!$E$2:$E$35,30),", ",",")&amp;",")),"●","")</f>
        <v/>
      </c>
      <c r="AG30" s="11" t="str">
        <f aca="false">IF(ISNUMBER(SEARCH(","&amp;$A30&amp;",",","&amp;SUBSTITUTE(INDEX(Propuestas!$E$2:$E$35,31),", ",",")&amp;",")),"●","")</f>
        <v>●</v>
      </c>
      <c r="AH30" s="11" t="str">
        <f aca="false">IF(ISNUMBER(SEARCH(","&amp;$A30&amp;",",","&amp;SUBSTITUTE(INDEX(Propuestas!$E$2:$E$35,32),", ",",")&amp;",")),"●","")</f>
        <v/>
      </c>
      <c r="AI30" s="11" t="str">
        <f aca="false">IF(ISNUMBER(SEARCH(","&amp;$A30&amp;",",","&amp;SUBSTITUTE(INDEX(Propuestas!$E$2:$E$35,33),", ",",")&amp;",")),"●","")</f>
        <v/>
      </c>
      <c r="AJ30" s="11" t="str">
        <f aca="false">IF(ISNUMBER(SEARCH(","&amp;$A30&amp;",",","&amp;SUBSTITUTE(INDEX(Propuestas!$E$2:$E$35,34),", ",",")&amp;",")),"●","")</f>
        <v>●</v>
      </c>
      <c r="AK30" s="10" t="n">
        <f aca="false">COUNTIF(C30:AJ30,"●")</f>
        <v>7</v>
      </c>
    </row>
    <row r="31" customFormat="false" ht="15" hidden="false" customHeight="false" outlineLevel="0" collapsed="false">
      <c r="A31" s="10" t="s">
        <v>564</v>
      </c>
      <c r="B31" s="10" t="n">
        <f aca="false">INDEX(Sindicatos!F:F,MATCH(A31,Sindicatos!A:A,0))</f>
        <v>3</v>
      </c>
      <c r="C31" s="11" t="str">
        <f aca="false">IF(ISNUMBER(SEARCH(","&amp;$A31&amp;",",","&amp;SUBSTITUTE(INDEX(Propuestas!$E$2:$E$35,1),", ",",")&amp;",")),"●","")</f>
        <v/>
      </c>
      <c r="D31" s="11" t="str">
        <f aca="false">IF(ISNUMBER(SEARCH(","&amp;$A31&amp;",",","&amp;SUBSTITUTE(INDEX(Propuestas!$E$2:$E$35,2),", ",",")&amp;",")),"●","")</f>
        <v>●</v>
      </c>
      <c r="E31" s="11" t="str">
        <f aca="false">IF(ISNUMBER(SEARCH(","&amp;$A31&amp;",",","&amp;SUBSTITUTE(INDEX(Propuestas!$E$2:$E$35,3),", ",",")&amp;",")),"●","")</f>
        <v>●</v>
      </c>
      <c r="F31" s="11" t="str">
        <f aca="false">IF(ISNUMBER(SEARCH(","&amp;$A31&amp;",",","&amp;SUBSTITUTE(INDEX(Propuestas!$E$2:$E$35,4),", ",",")&amp;",")),"●","")</f>
        <v>●</v>
      </c>
      <c r="G31" s="11" t="str">
        <f aca="false">IF(ISNUMBER(SEARCH(","&amp;$A31&amp;",",","&amp;SUBSTITUTE(INDEX(Propuestas!$E$2:$E$35,5),", ",",")&amp;",")),"●","")</f>
        <v>●</v>
      </c>
      <c r="H31" s="11" t="str">
        <f aca="false">IF(ISNUMBER(SEARCH(","&amp;$A31&amp;",",","&amp;SUBSTITUTE(INDEX(Propuestas!$E$2:$E$35,6),", ",",")&amp;",")),"●","")</f>
        <v/>
      </c>
      <c r="I31" s="11" t="str">
        <f aca="false">IF(ISNUMBER(SEARCH(","&amp;$A31&amp;",",","&amp;SUBSTITUTE(INDEX(Propuestas!$E$2:$E$35,7),", ",",")&amp;",")),"●","")</f>
        <v/>
      </c>
      <c r="J31" s="11" t="str">
        <f aca="false">IF(ISNUMBER(SEARCH(","&amp;$A31&amp;",",","&amp;SUBSTITUTE(INDEX(Propuestas!$E$2:$E$35,8),", ",",")&amp;",")),"●","")</f>
        <v/>
      </c>
      <c r="K31" s="11" t="str">
        <f aca="false">IF(ISNUMBER(SEARCH(","&amp;$A31&amp;",",","&amp;SUBSTITUTE(INDEX(Propuestas!$E$2:$E$35,9),", ",",")&amp;",")),"●","")</f>
        <v>●</v>
      </c>
      <c r="L31" s="11" t="str">
        <f aca="false">IF(ISNUMBER(SEARCH(","&amp;$A31&amp;",",","&amp;SUBSTITUTE(INDEX(Propuestas!$E$2:$E$35,10),", ",",")&amp;",")),"●","")</f>
        <v/>
      </c>
      <c r="M31" s="11" t="str">
        <f aca="false">IF(ISNUMBER(SEARCH(","&amp;$A31&amp;",",","&amp;SUBSTITUTE(INDEX(Propuestas!$E$2:$E$35,11),", ",",")&amp;",")),"●","")</f>
        <v/>
      </c>
      <c r="N31" s="11" t="str">
        <f aca="false">IF(ISNUMBER(SEARCH(","&amp;$A31&amp;",",","&amp;SUBSTITUTE(INDEX(Propuestas!$E$2:$E$35,12),", ",",")&amp;",")),"●","")</f>
        <v/>
      </c>
      <c r="O31" s="11" t="str">
        <f aca="false">IF(ISNUMBER(SEARCH(","&amp;$A31&amp;",",","&amp;SUBSTITUTE(INDEX(Propuestas!$E$2:$E$35,13),", ",",")&amp;",")),"●","")</f>
        <v/>
      </c>
      <c r="P31" s="11" t="str">
        <f aca="false">IF(ISNUMBER(SEARCH(","&amp;$A31&amp;",",","&amp;SUBSTITUTE(INDEX(Propuestas!$E$2:$E$35,14),", ",",")&amp;",")),"●","")</f>
        <v>●</v>
      </c>
      <c r="Q31" s="11" t="str">
        <f aca="false">IF(ISNUMBER(SEARCH(","&amp;$A31&amp;",",","&amp;SUBSTITUTE(INDEX(Propuestas!$E$2:$E$35,15),", ",",")&amp;",")),"●","")</f>
        <v>●</v>
      </c>
      <c r="R31" s="11" t="str">
        <f aca="false">IF(ISNUMBER(SEARCH(","&amp;$A31&amp;",",","&amp;SUBSTITUTE(INDEX(Propuestas!$E$2:$E$35,16),", ",",")&amp;",")),"●","")</f>
        <v/>
      </c>
      <c r="S31" s="11" t="str">
        <f aca="false">IF(ISNUMBER(SEARCH(","&amp;$A31&amp;",",","&amp;SUBSTITUTE(INDEX(Propuestas!$E$2:$E$35,17),", ",",")&amp;",")),"●","")</f>
        <v/>
      </c>
      <c r="T31" s="11" t="str">
        <f aca="false">IF(ISNUMBER(SEARCH(","&amp;$A31&amp;",",","&amp;SUBSTITUTE(INDEX(Propuestas!$E$2:$E$35,18),", ",",")&amp;",")),"●","")</f>
        <v/>
      </c>
      <c r="U31" s="11" t="str">
        <f aca="false">IF(ISNUMBER(SEARCH(","&amp;$A31&amp;",",","&amp;SUBSTITUTE(INDEX(Propuestas!$E$2:$E$35,19),", ",",")&amp;",")),"●","")</f>
        <v/>
      </c>
      <c r="V31" s="11" t="str">
        <f aca="false">IF(ISNUMBER(SEARCH(","&amp;$A31&amp;",",","&amp;SUBSTITUTE(INDEX(Propuestas!$E$2:$E$35,20),", ",",")&amp;",")),"●","")</f>
        <v>●</v>
      </c>
      <c r="W31" s="11" t="str">
        <f aca="false">IF(ISNUMBER(SEARCH(","&amp;$A31&amp;",",","&amp;SUBSTITUTE(INDEX(Propuestas!$E$2:$E$35,21),", ",",")&amp;",")),"●","")</f>
        <v/>
      </c>
      <c r="X31" s="11" t="str">
        <f aca="false">IF(ISNUMBER(SEARCH(","&amp;$A31&amp;",",","&amp;SUBSTITUTE(INDEX(Propuestas!$E$2:$E$35,22),", ",",")&amp;",")),"●","")</f>
        <v>●</v>
      </c>
      <c r="Y31" s="11" t="str">
        <f aca="false">IF(ISNUMBER(SEARCH(","&amp;$A31&amp;",",","&amp;SUBSTITUTE(INDEX(Propuestas!$E$2:$E$35,23),", ",",")&amp;",")),"●","")</f>
        <v/>
      </c>
      <c r="Z31" s="11" t="str">
        <f aca="false">IF(ISNUMBER(SEARCH(","&amp;$A31&amp;",",","&amp;SUBSTITUTE(INDEX(Propuestas!$E$2:$E$35,24),", ",",")&amp;",")),"●","")</f>
        <v/>
      </c>
      <c r="AA31" s="11" t="str">
        <f aca="false">IF(ISNUMBER(SEARCH(","&amp;$A31&amp;",",","&amp;SUBSTITUTE(INDEX(Propuestas!$E$2:$E$35,25),", ",",")&amp;",")),"●","")</f>
        <v/>
      </c>
      <c r="AB31" s="11" t="str">
        <f aca="false">IF(ISNUMBER(SEARCH(","&amp;$A31&amp;",",","&amp;SUBSTITUTE(INDEX(Propuestas!$E$2:$E$35,26),", ",",")&amp;",")),"●","")</f>
        <v/>
      </c>
      <c r="AC31" s="11" t="str">
        <f aca="false">IF(ISNUMBER(SEARCH(","&amp;$A31&amp;",",","&amp;SUBSTITUTE(INDEX(Propuestas!$E$2:$E$35,27),", ",",")&amp;",")),"●","")</f>
        <v>●</v>
      </c>
      <c r="AD31" s="11" t="str">
        <f aca="false">IF(ISNUMBER(SEARCH(","&amp;$A31&amp;",",","&amp;SUBSTITUTE(INDEX(Propuestas!$E$2:$E$35,28),", ",",")&amp;",")),"●","")</f>
        <v/>
      </c>
      <c r="AE31" s="11" t="str">
        <f aca="false">IF(ISNUMBER(SEARCH(","&amp;$A31&amp;",",","&amp;SUBSTITUTE(INDEX(Propuestas!$E$2:$E$35,29),", ",",")&amp;",")),"●","")</f>
        <v/>
      </c>
      <c r="AF31" s="11" t="str">
        <f aca="false">IF(ISNUMBER(SEARCH(","&amp;$A31&amp;",",","&amp;SUBSTITUTE(INDEX(Propuestas!$E$2:$E$35,30),", ",",")&amp;",")),"●","")</f>
        <v/>
      </c>
      <c r="AG31" s="11" t="str">
        <f aca="false">IF(ISNUMBER(SEARCH(","&amp;$A31&amp;",",","&amp;SUBSTITUTE(INDEX(Propuestas!$E$2:$E$35,31),", ",",")&amp;",")),"●","")</f>
        <v/>
      </c>
      <c r="AH31" s="11" t="str">
        <f aca="false">IF(ISNUMBER(SEARCH(","&amp;$A31&amp;",",","&amp;SUBSTITUTE(INDEX(Propuestas!$E$2:$E$35,32),", ",",")&amp;",")),"●","")</f>
        <v/>
      </c>
      <c r="AI31" s="11" t="str">
        <f aca="false">IF(ISNUMBER(SEARCH(","&amp;$A31&amp;",",","&amp;SUBSTITUTE(INDEX(Propuestas!$E$2:$E$35,33),", ",",")&amp;",")),"●","")</f>
        <v/>
      </c>
      <c r="AJ31" s="11" t="str">
        <f aca="false">IF(ISNUMBER(SEARCH(","&amp;$A31&amp;",",","&amp;SUBSTITUTE(INDEX(Propuestas!$E$2:$E$35,34),", ",",")&amp;",")),"●","")</f>
        <v>●</v>
      </c>
      <c r="AK31" s="10" t="n">
        <f aca="false">COUNTIF(C31:AJ31,"●")</f>
        <v>11</v>
      </c>
    </row>
    <row r="32" customFormat="false" ht="15" hidden="false" customHeight="false" outlineLevel="0" collapsed="false">
      <c r="A32" s="10" t="s">
        <v>573</v>
      </c>
      <c r="B32" s="10" t="n">
        <f aca="false">INDEX(Sindicatos!F:F,MATCH(A32,Sindicatos!A:A,0))</f>
        <v>3</v>
      </c>
      <c r="C32" s="11" t="str">
        <f aca="false">IF(ISNUMBER(SEARCH(","&amp;$A32&amp;",",","&amp;SUBSTITUTE(INDEX(Propuestas!$E$2:$E$35,1),", ",",")&amp;",")),"●","")</f>
        <v>●</v>
      </c>
      <c r="D32" s="11" t="str">
        <f aca="false">IF(ISNUMBER(SEARCH(","&amp;$A32&amp;",",","&amp;SUBSTITUTE(INDEX(Propuestas!$E$2:$E$35,2),", ",",")&amp;",")),"●","")</f>
        <v>●</v>
      </c>
      <c r="E32" s="11" t="str">
        <f aca="false">IF(ISNUMBER(SEARCH(","&amp;$A32&amp;",",","&amp;SUBSTITUTE(INDEX(Propuestas!$E$2:$E$35,3),", ",",")&amp;",")),"●","")</f>
        <v/>
      </c>
      <c r="F32" s="11" t="str">
        <f aca="false">IF(ISNUMBER(SEARCH(","&amp;$A32&amp;",",","&amp;SUBSTITUTE(INDEX(Propuestas!$E$2:$E$35,4),", ",",")&amp;",")),"●","")</f>
        <v/>
      </c>
      <c r="G32" s="11" t="str">
        <f aca="false">IF(ISNUMBER(SEARCH(","&amp;$A32&amp;",",","&amp;SUBSTITUTE(INDEX(Propuestas!$E$2:$E$35,5),", ",",")&amp;",")),"●","")</f>
        <v/>
      </c>
      <c r="H32" s="11" t="str">
        <f aca="false">IF(ISNUMBER(SEARCH(","&amp;$A32&amp;",",","&amp;SUBSTITUTE(INDEX(Propuestas!$E$2:$E$35,6),", ",",")&amp;",")),"●","")</f>
        <v>●</v>
      </c>
      <c r="I32" s="11" t="str">
        <f aca="false">IF(ISNUMBER(SEARCH(","&amp;$A32&amp;",",","&amp;SUBSTITUTE(INDEX(Propuestas!$E$2:$E$35,7),", ",",")&amp;",")),"●","")</f>
        <v>●</v>
      </c>
      <c r="J32" s="11" t="str">
        <f aca="false">IF(ISNUMBER(SEARCH(","&amp;$A32&amp;",",","&amp;SUBSTITUTE(INDEX(Propuestas!$E$2:$E$35,8),", ",",")&amp;",")),"●","")</f>
        <v/>
      </c>
      <c r="K32" s="11" t="str">
        <f aca="false">IF(ISNUMBER(SEARCH(","&amp;$A32&amp;",",","&amp;SUBSTITUTE(INDEX(Propuestas!$E$2:$E$35,9),", ",",")&amp;",")),"●","")</f>
        <v/>
      </c>
      <c r="L32" s="11" t="str">
        <f aca="false">IF(ISNUMBER(SEARCH(","&amp;$A32&amp;",",","&amp;SUBSTITUTE(INDEX(Propuestas!$E$2:$E$35,10),", ",",")&amp;",")),"●","")</f>
        <v/>
      </c>
      <c r="M32" s="11" t="str">
        <f aca="false">IF(ISNUMBER(SEARCH(","&amp;$A32&amp;",",","&amp;SUBSTITUTE(INDEX(Propuestas!$E$2:$E$35,11),", ",",")&amp;",")),"●","")</f>
        <v/>
      </c>
      <c r="N32" s="11" t="str">
        <f aca="false">IF(ISNUMBER(SEARCH(","&amp;$A32&amp;",",","&amp;SUBSTITUTE(INDEX(Propuestas!$E$2:$E$35,12),", ",",")&amp;",")),"●","")</f>
        <v/>
      </c>
      <c r="O32" s="11" t="str">
        <f aca="false">IF(ISNUMBER(SEARCH(","&amp;$A32&amp;",",","&amp;SUBSTITUTE(INDEX(Propuestas!$E$2:$E$35,13),", ",",")&amp;",")),"●","")</f>
        <v>●</v>
      </c>
      <c r="P32" s="11" t="str">
        <f aca="false">IF(ISNUMBER(SEARCH(","&amp;$A32&amp;",",","&amp;SUBSTITUTE(INDEX(Propuestas!$E$2:$E$35,14),", ",",")&amp;",")),"●","")</f>
        <v/>
      </c>
      <c r="Q32" s="11" t="str">
        <f aca="false">IF(ISNUMBER(SEARCH(","&amp;$A32&amp;",",","&amp;SUBSTITUTE(INDEX(Propuestas!$E$2:$E$35,15),", ",",")&amp;",")),"●","")</f>
        <v/>
      </c>
      <c r="R32" s="11" t="str">
        <f aca="false">IF(ISNUMBER(SEARCH(","&amp;$A32&amp;",",","&amp;SUBSTITUTE(INDEX(Propuestas!$E$2:$E$35,16),", ",",")&amp;",")),"●","")</f>
        <v/>
      </c>
      <c r="S32" s="11" t="str">
        <f aca="false">IF(ISNUMBER(SEARCH(","&amp;$A32&amp;",",","&amp;SUBSTITUTE(INDEX(Propuestas!$E$2:$E$35,17),", ",",")&amp;",")),"●","")</f>
        <v/>
      </c>
      <c r="T32" s="11" t="str">
        <f aca="false">IF(ISNUMBER(SEARCH(","&amp;$A32&amp;",",","&amp;SUBSTITUTE(INDEX(Propuestas!$E$2:$E$35,18),", ",",")&amp;",")),"●","")</f>
        <v/>
      </c>
      <c r="U32" s="11" t="str">
        <f aca="false">IF(ISNUMBER(SEARCH(","&amp;$A32&amp;",",","&amp;SUBSTITUTE(INDEX(Propuestas!$E$2:$E$35,19),", ",",")&amp;",")),"●","")</f>
        <v/>
      </c>
      <c r="V32" s="11" t="str">
        <f aca="false">IF(ISNUMBER(SEARCH(","&amp;$A32&amp;",",","&amp;SUBSTITUTE(INDEX(Propuestas!$E$2:$E$35,20),", ",",")&amp;",")),"●","")</f>
        <v>●</v>
      </c>
      <c r="W32" s="11" t="str">
        <f aca="false">IF(ISNUMBER(SEARCH(","&amp;$A32&amp;",",","&amp;SUBSTITUTE(INDEX(Propuestas!$E$2:$E$35,21),", ",",")&amp;",")),"●","")</f>
        <v/>
      </c>
      <c r="X32" s="11" t="str">
        <f aca="false">IF(ISNUMBER(SEARCH(","&amp;$A32&amp;",",","&amp;SUBSTITUTE(INDEX(Propuestas!$E$2:$E$35,22),", ",",")&amp;",")),"●","")</f>
        <v>●</v>
      </c>
      <c r="Y32" s="11" t="str">
        <f aca="false">IF(ISNUMBER(SEARCH(","&amp;$A32&amp;",",","&amp;SUBSTITUTE(INDEX(Propuestas!$E$2:$E$35,23),", ",",")&amp;",")),"●","")</f>
        <v/>
      </c>
      <c r="Z32" s="11" t="str">
        <f aca="false">IF(ISNUMBER(SEARCH(","&amp;$A32&amp;",",","&amp;SUBSTITUTE(INDEX(Propuestas!$E$2:$E$35,24),", ",",")&amp;",")),"●","")</f>
        <v>●</v>
      </c>
      <c r="AA32" s="11" t="str">
        <f aca="false">IF(ISNUMBER(SEARCH(","&amp;$A32&amp;",",","&amp;SUBSTITUTE(INDEX(Propuestas!$E$2:$E$35,25),", ",",")&amp;",")),"●","")</f>
        <v/>
      </c>
      <c r="AB32" s="11" t="str">
        <f aca="false">IF(ISNUMBER(SEARCH(","&amp;$A32&amp;",",","&amp;SUBSTITUTE(INDEX(Propuestas!$E$2:$E$35,26),", ",",")&amp;",")),"●","")</f>
        <v/>
      </c>
      <c r="AC32" s="11" t="str">
        <f aca="false">IF(ISNUMBER(SEARCH(","&amp;$A32&amp;",",","&amp;SUBSTITUTE(INDEX(Propuestas!$E$2:$E$35,27),", ",",")&amp;",")),"●","")</f>
        <v>●</v>
      </c>
      <c r="AD32" s="11" t="str">
        <f aca="false">IF(ISNUMBER(SEARCH(","&amp;$A32&amp;",",","&amp;SUBSTITUTE(INDEX(Propuestas!$E$2:$E$35,28),", ",",")&amp;",")),"●","")</f>
        <v/>
      </c>
      <c r="AE32" s="11" t="str">
        <f aca="false">IF(ISNUMBER(SEARCH(","&amp;$A32&amp;",",","&amp;SUBSTITUTE(INDEX(Propuestas!$E$2:$E$35,29),", ",",")&amp;",")),"●","")</f>
        <v>●</v>
      </c>
      <c r="AF32" s="11" t="str">
        <f aca="false">IF(ISNUMBER(SEARCH(","&amp;$A32&amp;",",","&amp;SUBSTITUTE(INDEX(Propuestas!$E$2:$E$35,30),", ",",")&amp;",")),"●","")</f>
        <v/>
      </c>
      <c r="AG32" s="11" t="str">
        <f aca="false">IF(ISNUMBER(SEARCH(","&amp;$A32&amp;",",","&amp;SUBSTITUTE(INDEX(Propuestas!$E$2:$E$35,31),", ",",")&amp;",")),"●","")</f>
        <v/>
      </c>
      <c r="AH32" s="11" t="str">
        <f aca="false">IF(ISNUMBER(SEARCH(","&amp;$A32&amp;",",","&amp;SUBSTITUTE(INDEX(Propuestas!$E$2:$E$35,32),", ",",")&amp;",")),"●","")</f>
        <v>●</v>
      </c>
      <c r="AI32" s="11" t="str">
        <f aca="false">IF(ISNUMBER(SEARCH(","&amp;$A32&amp;",",","&amp;SUBSTITUTE(INDEX(Propuestas!$E$2:$E$35,33),", ",",")&amp;",")),"●","")</f>
        <v/>
      </c>
      <c r="AJ32" s="11" t="str">
        <f aca="false">IF(ISNUMBER(SEARCH(","&amp;$A32&amp;",",","&amp;SUBSTITUTE(INDEX(Propuestas!$E$2:$E$35,34),", ",",")&amp;",")),"●","")</f>
        <v>●</v>
      </c>
      <c r="AK32" s="10" t="n">
        <f aca="false">COUNTIF(C32:AJ32,"●")</f>
        <v>12</v>
      </c>
    </row>
    <row r="33" customFormat="false" ht="15" hidden="false" customHeight="false" outlineLevel="0" collapsed="false">
      <c r="A33" s="10" t="s">
        <v>581</v>
      </c>
      <c r="B33" s="10" t="n">
        <f aca="false">INDEX(Sindicatos!F:F,MATCH(A33,Sindicatos!A:A,0))</f>
        <v>3</v>
      </c>
      <c r="C33" s="11" t="str">
        <f aca="false">IF(ISNUMBER(SEARCH(","&amp;$A33&amp;",",","&amp;SUBSTITUTE(INDEX(Propuestas!$E$2:$E$35,1),", ",",")&amp;",")),"●","")</f>
        <v>●</v>
      </c>
      <c r="D33" s="11" t="str">
        <f aca="false">IF(ISNUMBER(SEARCH(","&amp;$A33&amp;",",","&amp;SUBSTITUTE(INDEX(Propuestas!$E$2:$E$35,2),", ",",")&amp;",")),"●","")</f>
        <v/>
      </c>
      <c r="E33" s="11" t="str">
        <f aca="false">IF(ISNUMBER(SEARCH(","&amp;$A33&amp;",",","&amp;SUBSTITUTE(INDEX(Propuestas!$E$2:$E$35,3),", ",",")&amp;",")),"●","")</f>
        <v>●</v>
      </c>
      <c r="F33" s="11" t="str">
        <f aca="false">IF(ISNUMBER(SEARCH(","&amp;$A33&amp;",",","&amp;SUBSTITUTE(INDEX(Propuestas!$E$2:$E$35,4),", ",",")&amp;",")),"●","")</f>
        <v>●</v>
      </c>
      <c r="G33" s="11" t="str">
        <f aca="false">IF(ISNUMBER(SEARCH(","&amp;$A33&amp;",",","&amp;SUBSTITUTE(INDEX(Propuestas!$E$2:$E$35,5),", ",",")&amp;",")),"●","")</f>
        <v/>
      </c>
      <c r="H33" s="11" t="str">
        <f aca="false">IF(ISNUMBER(SEARCH(","&amp;$A33&amp;",",","&amp;SUBSTITUTE(INDEX(Propuestas!$E$2:$E$35,6),", ",",")&amp;",")),"●","")</f>
        <v/>
      </c>
      <c r="I33" s="11" t="str">
        <f aca="false">IF(ISNUMBER(SEARCH(","&amp;$A33&amp;",",","&amp;SUBSTITUTE(INDEX(Propuestas!$E$2:$E$35,7),", ",",")&amp;",")),"●","")</f>
        <v/>
      </c>
      <c r="J33" s="11" t="str">
        <f aca="false">IF(ISNUMBER(SEARCH(","&amp;$A33&amp;",",","&amp;SUBSTITUTE(INDEX(Propuestas!$E$2:$E$35,8),", ",",")&amp;",")),"●","")</f>
        <v/>
      </c>
      <c r="K33" s="11" t="str">
        <f aca="false">IF(ISNUMBER(SEARCH(","&amp;$A33&amp;",",","&amp;SUBSTITUTE(INDEX(Propuestas!$E$2:$E$35,9),", ",",")&amp;",")),"●","")</f>
        <v/>
      </c>
      <c r="L33" s="11" t="str">
        <f aca="false">IF(ISNUMBER(SEARCH(","&amp;$A33&amp;",",","&amp;SUBSTITUTE(INDEX(Propuestas!$E$2:$E$35,10),", ",",")&amp;",")),"●","")</f>
        <v>●</v>
      </c>
      <c r="M33" s="11" t="str">
        <f aca="false">IF(ISNUMBER(SEARCH(","&amp;$A33&amp;",",","&amp;SUBSTITUTE(INDEX(Propuestas!$E$2:$E$35,11),", ",",")&amp;",")),"●","")</f>
        <v/>
      </c>
      <c r="N33" s="11" t="str">
        <f aca="false">IF(ISNUMBER(SEARCH(","&amp;$A33&amp;",",","&amp;SUBSTITUTE(INDEX(Propuestas!$E$2:$E$35,12),", ",",")&amp;",")),"●","")</f>
        <v/>
      </c>
      <c r="O33" s="11" t="str">
        <f aca="false">IF(ISNUMBER(SEARCH(","&amp;$A33&amp;",",","&amp;SUBSTITUTE(INDEX(Propuestas!$E$2:$E$35,13),", ",",")&amp;",")),"●","")</f>
        <v/>
      </c>
      <c r="P33" s="11" t="str">
        <f aca="false">IF(ISNUMBER(SEARCH(","&amp;$A33&amp;",",","&amp;SUBSTITUTE(INDEX(Propuestas!$E$2:$E$35,14),", ",",")&amp;",")),"●","")</f>
        <v>●</v>
      </c>
      <c r="Q33" s="11" t="str">
        <f aca="false">IF(ISNUMBER(SEARCH(","&amp;$A33&amp;",",","&amp;SUBSTITUTE(INDEX(Propuestas!$E$2:$E$35,15),", ",",")&amp;",")),"●","")</f>
        <v>●</v>
      </c>
      <c r="R33" s="11" t="str">
        <f aca="false">IF(ISNUMBER(SEARCH(","&amp;$A33&amp;",",","&amp;SUBSTITUTE(INDEX(Propuestas!$E$2:$E$35,16),", ",",")&amp;",")),"●","")</f>
        <v/>
      </c>
      <c r="S33" s="11" t="str">
        <f aca="false">IF(ISNUMBER(SEARCH(","&amp;$A33&amp;",",","&amp;SUBSTITUTE(INDEX(Propuestas!$E$2:$E$35,17),", ",",")&amp;",")),"●","")</f>
        <v>●</v>
      </c>
      <c r="T33" s="11" t="str">
        <f aca="false">IF(ISNUMBER(SEARCH(","&amp;$A33&amp;",",","&amp;SUBSTITUTE(INDEX(Propuestas!$E$2:$E$35,18),", ",",")&amp;",")),"●","")</f>
        <v/>
      </c>
      <c r="U33" s="11" t="str">
        <f aca="false">IF(ISNUMBER(SEARCH(","&amp;$A33&amp;",",","&amp;SUBSTITUTE(INDEX(Propuestas!$E$2:$E$35,19),", ",",")&amp;",")),"●","")</f>
        <v/>
      </c>
      <c r="V33" s="11" t="str">
        <f aca="false">IF(ISNUMBER(SEARCH(","&amp;$A33&amp;",",","&amp;SUBSTITUTE(INDEX(Propuestas!$E$2:$E$35,20),", ",",")&amp;",")),"●","")</f>
        <v>●</v>
      </c>
      <c r="W33" s="11" t="str">
        <f aca="false">IF(ISNUMBER(SEARCH(","&amp;$A33&amp;",",","&amp;SUBSTITUTE(INDEX(Propuestas!$E$2:$E$35,21),", ",",")&amp;",")),"●","")</f>
        <v/>
      </c>
      <c r="X33" s="11" t="str">
        <f aca="false">IF(ISNUMBER(SEARCH(","&amp;$A33&amp;",",","&amp;SUBSTITUTE(INDEX(Propuestas!$E$2:$E$35,22),", ",",")&amp;",")),"●","")</f>
        <v/>
      </c>
      <c r="Y33" s="11" t="str">
        <f aca="false">IF(ISNUMBER(SEARCH(","&amp;$A33&amp;",",","&amp;SUBSTITUTE(INDEX(Propuestas!$E$2:$E$35,23),", ",",")&amp;",")),"●","")</f>
        <v/>
      </c>
      <c r="Z33" s="11" t="str">
        <f aca="false">IF(ISNUMBER(SEARCH(","&amp;$A33&amp;",",","&amp;SUBSTITUTE(INDEX(Propuestas!$E$2:$E$35,24),", ",",")&amp;",")),"●","")</f>
        <v/>
      </c>
      <c r="AA33" s="11" t="str">
        <f aca="false">IF(ISNUMBER(SEARCH(","&amp;$A33&amp;",",","&amp;SUBSTITUTE(INDEX(Propuestas!$E$2:$E$35,25),", ",",")&amp;",")),"●","")</f>
        <v>●</v>
      </c>
      <c r="AB33" s="11" t="str">
        <f aca="false">IF(ISNUMBER(SEARCH(","&amp;$A33&amp;",",","&amp;SUBSTITUTE(INDEX(Propuestas!$E$2:$E$35,26),", ",",")&amp;",")),"●","")</f>
        <v/>
      </c>
      <c r="AC33" s="11" t="str">
        <f aca="false">IF(ISNUMBER(SEARCH(","&amp;$A33&amp;",",","&amp;SUBSTITUTE(INDEX(Propuestas!$E$2:$E$35,27),", ",",")&amp;",")),"●","")</f>
        <v/>
      </c>
      <c r="AD33" s="11" t="str">
        <f aca="false">IF(ISNUMBER(SEARCH(","&amp;$A33&amp;",",","&amp;SUBSTITUTE(INDEX(Propuestas!$E$2:$E$35,28),", ",",")&amp;",")),"●","")</f>
        <v/>
      </c>
      <c r="AE33" s="11" t="str">
        <f aca="false">IF(ISNUMBER(SEARCH(","&amp;$A33&amp;",",","&amp;SUBSTITUTE(INDEX(Propuestas!$E$2:$E$35,29),", ",",")&amp;",")),"●","")</f>
        <v/>
      </c>
      <c r="AF33" s="11" t="str">
        <f aca="false">IF(ISNUMBER(SEARCH(","&amp;$A33&amp;",",","&amp;SUBSTITUTE(INDEX(Propuestas!$E$2:$E$35,30),", ",",")&amp;",")),"●","")</f>
        <v/>
      </c>
      <c r="AG33" s="11" t="str">
        <f aca="false">IF(ISNUMBER(SEARCH(","&amp;$A33&amp;",",","&amp;SUBSTITUTE(INDEX(Propuestas!$E$2:$E$35,31),", ",",")&amp;",")),"●","")</f>
        <v/>
      </c>
      <c r="AH33" s="11" t="str">
        <f aca="false">IF(ISNUMBER(SEARCH(","&amp;$A33&amp;",",","&amp;SUBSTITUTE(INDEX(Propuestas!$E$2:$E$35,32),", ",",")&amp;",")),"●","")</f>
        <v>●</v>
      </c>
      <c r="AI33" s="11" t="str">
        <f aca="false">IF(ISNUMBER(SEARCH(","&amp;$A33&amp;",",","&amp;SUBSTITUTE(INDEX(Propuestas!$E$2:$E$35,33),", ",",")&amp;",")),"●","")</f>
        <v/>
      </c>
      <c r="AJ33" s="11" t="str">
        <f aca="false">IF(ISNUMBER(SEARCH(","&amp;$A33&amp;",",","&amp;SUBSTITUTE(INDEX(Propuestas!$E$2:$E$35,34),", ",",")&amp;",")),"●","")</f>
        <v>●</v>
      </c>
      <c r="AK33" s="10" t="n">
        <f aca="false">COUNTIF(C33:AJ33,"●")</f>
        <v>11</v>
      </c>
    </row>
    <row r="34" customFormat="false" ht="15" hidden="false" customHeight="false" outlineLevel="0" collapsed="false">
      <c r="A34" s="10" t="s">
        <v>589</v>
      </c>
      <c r="B34" s="10" t="n">
        <f aca="false">INDEX(Sindicatos!F:F,MATCH(A34,Sindicatos!A:A,0))</f>
        <v>3</v>
      </c>
      <c r="C34" s="11" t="str">
        <f aca="false">IF(ISNUMBER(SEARCH(","&amp;$A34&amp;",",","&amp;SUBSTITUTE(INDEX(Propuestas!$E$2:$E$35,1),", ",",")&amp;",")),"●","")</f>
        <v/>
      </c>
      <c r="D34" s="11" t="str">
        <f aca="false">IF(ISNUMBER(SEARCH(","&amp;$A34&amp;",",","&amp;SUBSTITUTE(INDEX(Propuestas!$E$2:$E$35,2),", ",",")&amp;",")),"●","")</f>
        <v/>
      </c>
      <c r="E34" s="11" t="str">
        <f aca="false">IF(ISNUMBER(SEARCH(","&amp;$A34&amp;",",","&amp;SUBSTITUTE(INDEX(Propuestas!$E$2:$E$35,3),", ",",")&amp;",")),"●","")</f>
        <v/>
      </c>
      <c r="F34" s="11" t="str">
        <f aca="false">IF(ISNUMBER(SEARCH(","&amp;$A34&amp;",",","&amp;SUBSTITUTE(INDEX(Propuestas!$E$2:$E$35,4),", ",",")&amp;",")),"●","")</f>
        <v/>
      </c>
      <c r="G34" s="11" t="str">
        <f aca="false">IF(ISNUMBER(SEARCH(","&amp;$A34&amp;",",","&amp;SUBSTITUTE(INDEX(Propuestas!$E$2:$E$35,5),", ",",")&amp;",")),"●","")</f>
        <v/>
      </c>
      <c r="H34" s="11" t="str">
        <f aca="false">IF(ISNUMBER(SEARCH(","&amp;$A34&amp;",",","&amp;SUBSTITUTE(INDEX(Propuestas!$E$2:$E$35,6),", ",",")&amp;",")),"●","")</f>
        <v/>
      </c>
      <c r="I34" s="11" t="str">
        <f aca="false">IF(ISNUMBER(SEARCH(","&amp;$A34&amp;",",","&amp;SUBSTITUTE(INDEX(Propuestas!$E$2:$E$35,7),", ",",")&amp;",")),"●","")</f>
        <v/>
      </c>
      <c r="J34" s="11" t="str">
        <f aca="false">IF(ISNUMBER(SEARCH(","&amp;$A34&amp;",",","&amp;SUBSTITUTE(INDEX(Propuestas!$E$2:$E$35,8),", ",",")&amp;",")),"●","")</f>
        <v/>
      </c>
      <c r="K34" s="11" t="str">
        <f aca="false">IF(ISNUMBER(SEARCH(","&amp;$A34&amp;",",","&amp;SUBSTITUTE(INDEX(Propuestas!$E$2:$E$35,9),", ",",")&amp;",")),"●","")</f>
        <v/>
      </c>
      <c r="L34" s="11" t="str">
        <f aca="false">IF(ISNUMBER(SEARCH(","&amp;$A34&amp;",",","&amp;SUBSTITUTE(INDEX(Propuestas!$E$2:$E$35,10),", ",",")&amp;",")),"●","")</f>
        <v/>
      </c>
      <c r="M34" s="11" t="str">
        <f aca="false">IF(ISNUMBER(SEARCH(","&amp;$A34&amp;",",","&amp;SUBSTITUTE(INDEX(Propuestas!$E$2:$E$35,11),", ",",")&amp;",")),"●","")</f>
        <v/>
      </c>
      <c r="N34" s="11" t="str">
        <f aca="false">IF(ISNUMBER(SEARCH(","&amp;$A34&amp;",",","&amp;SUBSTITUTE(INDEX(Propuestas!$E$2:$E$35,12),", ",",")&amp;",")),"●","")</f>
        <v/>
      </c>
      <c r="O34" s="11" t="str">
        <f aca="false">IF(ISNUMBER(SEARCH(","&amp;$A34&amp;",",","&amp;SUBSTITUTE(INDEX(Propuestas!$E$2:$E$35,13),", ",",")&amp;",")),"●","")</f>
        <v/>
      </c>
      <c r="P34" s="11" t="str">
        <f aca="false">IF(ISNUMBER(SEARCH(","&amp;$A34&amp;",",","&amp;SUBSTITUTE(INDEX(Propuestas!$E$2:$E$35,14),", ",",")&amp;",")),"●","")</f>
        <v>●</v>
      </c>
      <c r="Q34" s="11" t="str">
        <f aca="false">IF(ISNUMBER(SEARCH(","&amp;$A34&amp;",",","&amp;SUBSTITUTE(INDEX(Propuestas!$E$2:$E$35,15),", ",",")&amp;",")),"●","")</f>
        <v/>
      </c>
      <c r="R34" s="11" t="str">
        <f aca="false">IF(ISNUMBER(SEARCH(","&amp;$A34&amp;",",","&amp;SUBSTITUTE(INDEX(Propuestas!$E$2:$E$35,16),", ",",")&amp;",")),"●","")</f>
        <v/>
      </c>
      <c r="S34" s="11" t="str">
        <f aca="false">IF(ISNUMBER(SEARCH(","&amp;$A34&amp;",",","&amp;SUBSTITUTE(INDEX(Propuestas!$E$2:$E$35,17),", ",",")&amp;",")),"●","")</f>
        <v/>
      </c>
      <c r="T34" s="11" t="str">
        <f aca="false">IF(ISNUMBER(SEARCH(","&amp;$A34&amp;",",","&amp;SUBSTITUTE(INDEX(Propuestas!$E$2:$E$35,18),", ",",")&amp;",")),"●","")</f>
        <v>●</v>
      </c>
      <c r="U34" s="11" t="str">
        <f aca="false">IF(ISNUMBER(SEARCH(","&amp;$A34&amp;",",","&amp;SUBSTITUTE(INDEX(Propuestas!$E$2:$E$35,19),", ",",")&amp;",")),"●","")</f>
        <v/>
      </c>
      <c r="V34" s="11" t="str">
        <f aca="false">IF(ISNUMBER(SEARCH(","&amp;$A34&amp;",",","&amp;SUBSTITUTE(INDEX(Propuestas!$E$2:$E$35,20),", ",",")&amp;",")),"●","")</f>
        <v/>
      </c>
      <c r="W34" s="11" t="str">
        <f aca="false">IF(ISNUMBER(SEARCH(","&amp;$A34&amp;",",","&amp;SUBSTITUTE(INDEX(Propuestas!$E$2:$E$35,21),", ",",")&amp;",")),"●","")</f>
        <v>●</v>
      </c>
      <c r="X34" s="11" t="str">
        <f aca="false">IF(ISNUMBER(SEARCH(","&amp;$A34&amp;",",","&amp;SUBSTITUTE(INDEX(Propuestas!$E$2:$E$35,22),", ",",")&amp;",")),"●","")</f>
        <v>●</v>
      </c>
      <c r="Y34" s="11" t="str">
        <f aca="false">IF(ISNUMBER(SEARCH(","&amp;$A34&amp;",",","&amp;SUBSTITUTE(INDEX(Propuestas!$E$2:$E$35,23),", ",",")&amp;",")),"●","")</f>
        <v/>
      </c>
      <c r="Z34" s="11" t="str">
        <f aca="false">IF(ISNUMBER(SEARCH(","&amp;$A34&amp;",",","&amp;SUBSTITUTE(INDEX(Propuestas!$E$2:$E$35,24),", ",",")&amp;",")),"●","")</f>
        <v/>
      </c>
      <c r="AA34" s="11" t="str">
        <f aca="false">IF(ISNUMBER(SEARCH(","&amp;$A34&amp;",",","&amp;SUBSTITUTE(INDEX(Propuestas!$E$2:$E$35,25),", ",",")&amp;",")),"●","")</f>
        <v/>
      </c>
      <c r="AB34" s="11" t="str">
        <f aca="false">IF(ISNUMBER(SEARCH(","&amp;$A34&amp;",",","&amp;SUBSTITUTE(INDEX(Propuestas!$E$2:$E$35,26),", ",",")&amp;",")),"●","")</f>
        <v/>
      </c>
      <c r="AC34" s="11" t="str">
        <f aca="false">IF(ISNUMBER(SEARCH(","&amp;$A34&amp;",",","&amp;SUBSTITUTE(INDEX(Propuestas!$E$2:$E$35,27),", ",",")&amp;",")),"●","")</f>
        <v/>
      </c>
      <c r="AD34" s="11" t="str">
        <f aca="false">IF(ISNUMBER(SEARCH(","&amp;$A34&amp;",",","&amp;SUBSTITUTE(INDEX(Propuestas!$E$2:$E$35,28),", ",",")&amp;",")),"●","")</f>
        <v>●</v>
      </c>
      <c r="AE34" s="11" t="str">
        <f aca="false">IF(ISNUMBER(SEARCH(","&amp;$A34&amp;",",","&amp;SUBSTITUTE(INDEX(Propuestas!$E$2:$E$35,29),", ",",")&amp;",")),"●","")</f>
        <v/>
      </c>
      <c r="AF34" s="11" t="str">
        <f aca="false">IF(ISNUMBER(SEARCH(","&amp;$A34&amp;",",","&amp;SUBSTITUTE(INDEX(Propuestas!$E$2:$E$35,30),", ",",")&amp;",")),"●","")</f>
        <v/>
      </c>
      <c r="AG34" s="11" t="str">
        <f aca="false">IF(ISNUMBER(SEARCH(","&amp;$A34&amp;",",","&amp;SUBSTITUTE(INDEX(Propuestas!$E$2:$E$35,31),", ",",")&amp;",")),"●","")</f>
        <v/>
      </c>
      <c r="AH34" s="11" t="str">
        <f aca="false">IF(ISNUMBER(SEARCH(","&amp;$A34&amp;",",","&amp;SUBSTITUTE(INDEX(Propuestas!$E$2:$E$35,32),", ",",")&amp;",")),"●","")</f>
        <v/>
      </c>
      <c r="AI34" s="11" t="str">
        <f aca="false">IF(ISNUMBER(SEARCH(","&amp;$A34&amp;",",","&amp;SUBSTITUTE(INDEX(Propuestas!$E$2:$E$35,33),", ",",")&amp;",")),"●","")</f>
        <v/>
      </c>
      <c r="AJ34" s="11" t="str">
        <f aca="false">IF(ISNUMBER(SEARCH(","&amp;$A34&amp;",",","&amp;SUBSTITUTE(INDEX(Propuestas!$E$2:$E$35,34),", ",",")&amp;",")),"●","")</f>
        <v/>
      </c>
      <c r="AK34" s="10" t="n">
        <f aca="false">COUNTIF(C34:AJ34,"●")</f>
        <v>5</v>
      </c>
    </row>
    <row r="35" customFormat="false" ht="15" hidden="false" customHeight="false" outlineLevel="0" collapsed="false">
      <c r="A35" s="10" t="s">
        <v>598</v>
      </c>
      <c r="B35" s="10" t="n">
        <f aca="false">INDEX(Sindicatos!F:F,MATCH(A35,Sindicatos!A:A,0))</f>
        <v>3</v>
      </c>
      <c r="C35" s="11" t="str">
        <f aca="false">IF(ISNUMBER(SEARCH(","&amp;$A35&amp;",",","&amp;SUBSTITUTE(INDEX(Propuestas!$E$2:$E$35,1),", ",",")&amp;",")),"●","")</f>
        <v>●</v>
      </c>
      <c r="D35" s="11" t="str">
        <f aca="false">IF(ISNUMBER(SEARCH(","&amp;$A35&amp;",",","&amp;SUBSTITUTE(INDEX(Propuestas!$E$2:$E$35,2),", ",",")&amp;",")),"●","")</f>
        <v>●</v>
      </c>
      <c r="E35" s="11" t="str">
        <f aca="false">IF(ISNUMBER(SEARCH(","&amp;$A35&amp;",",","&amp;SUBSTITUTE(INDEX(Propuestas!$E$2:$E$35,3),", ",",")&amp;",")),"●","")</f>
        <v/>
      </c>
      <c r="F35" s="11" t="str">
        <f aca="false">IF(ISNUMBER(SEARCH(","&amp;$A35&amp;",",","&amp;SUBSTITUTE(INDEX(Propuestas!$E$2:$E$35,4),", ",",")&amp;",")),"●","")</f>
        <v>●</v>
      </c>
      <c r="G35" s="11" t="str">
        <f aca="false">IF(ISNUMBER(SEARCH(","&amp;$A35&amp;",",","&amp;SUBSTITUTE(INDEX(Propuestas!$E$2:$E$35,5),", ",",")&amp;",")),"●","")</f>
        <v/>
      </c>
      <c r="H35" s="11" t="str">
        <f aca="false">IF(ISNUMBER(SEARCH(","&amp;$A35&amp;",",","&amp;SUBSTITUTE(INDEX(Propuestas!$E$2:$E$35,6),", ",",")&amp;",")),"●","")</f>
        <v/>
      </c>
      <c r="I35" s="11" t="str">
        <f aca="false">IF(ISNUMBER(SEARCH(","&amp;$A35&amp;",",","&amp;SUBSTITUTE(INDEX(Propuestas!$E$2:$E$35,7),", ",",")&amp;",")),"●","")</f>
        <v/>
      </c>
      <c r="J35" s="11" t="str">
        <f aca="false">IF(ISNUMBER(SEARCH(","&amp;$A35&amp;",",","&amp;SUBSTITUTE(INDEX(Propuestas!$E$2:$E$35,8),", ",",")&amp;",")),"●","")</f>
        <v/>
      </c>
      <c r="K35" s="11" t="str">
        <f aca="false">IF(ISNUMBER(SEARCH(","&amp;$A35&amp;",",","&amp;SUBSTITUTE(INDEX(Propuestas!$E$2:$E$35,9),", ",",")&amp;",")),"●","")</f>
        <v>●</v>
      </c>
      <c r="L35" s="11" t="str">
        <f aca="false">IF(ISNUMBER(SEARCH(","&amp;$A35&amp;",",","&amp;SUBSTITUTE(INDEX(Propuestas!$E$2:$E$35,10),", ",",")&amp;",")),"●","")</f>
        <v/>
      </c>
      <c r="M35" s="11" t="str">
        <f aca="false">IF(ISNUMBER(SEARCH(","&amp;$A35&amp;",",","&amp;SUBSTITUTE(INDEX(Propuestas!$E$2:$E$35,11),", ",",")&amp;",")),"●","")</f>
        <v/>
      </c>
      <c r="N35" s="11" t="str">
        <f aca="false">IF(ISNUMBER(SEARCH(","&amp;$A35&amp;",",","&amp;SUBSTITUTE(INDEX(Propuestas!$E$2:$E$35,12),", ",",")&amp;",")),"●","")</f>
        <v>●</v>
      </c>
      <c r="O35" s="11" t="str">
        <f aca="false">IF(ISNUMBER(SEARCH(","&amp;$A35&amp;",",","&amp;SUBSTITUTE(INDEX(Propuestas!$E$2:$E$35,13),", ",",")&amp;",")),"●","")</f>
        <v/>
      </c>
      <c r="P35" s="11" t="str">
        <f aca="false">IF(ISNUMBER(SEARCH(","&amp;$A35&amp;",",","&amp;SUBSTITUTE(INDEX(Propuestas!$E$2:$E$35,14),", ",",")&amp;",")),"●","")</f>
        <v>●</v>
      </c>
      <c r="Q35" s="11" t="str">
        <f aca="false">IF(ISNUMBER(SEARCH(","&amp;$A35&amp;",",","&amp;SUBSTITUTE(INDEX(Propuestas!$E$2:$E$35,15),", ",",")&amp;",")),"●","")</f>
        <v/>
      </c>
      <c r="R35" s="11" t="str">
        <f aca="false">IF(ISNUMBER(SEARCH(","&amp;$A35&amp;",",","&amp;SUBSTITUTE(INDEX(Propuestas!$E$2:$E$35,16),", ",",")&amp;",")),"●","")</f>
        <v/>
      </c>
      <c r="S35" s="11" t="str">
        <f aca="false">IF(ISNUMBER(SEARCH(","&amp;$A35&amp;",",","&amp;SUBSTITUTE(INDEX(Propuestas!$E$2:$E$35,17),", ",",")&amp;",")),"●","")</f>
        <v/>
      </c>
      <c r="T35" s="11" t="str">
        <f aca="false">IF(ISNUMBER(SEARCH(","&amp;$A35&amp;",",","&amp;SUBSTITUTE(INDEX(Propuestas!$E$2:$E$35,18),", ",",")&amp;",")),"●","")</f>
        <v/>
      </c>
      <c r="U35" s="11" t="str">
        <f aca="false">IF(ISNUMBER(SEARCH(","&amp;$A35&amp;",",","&amp;SUBSTITUTE(INDEX(Propuestas!$E$2:$E$35,19),", ",",")&amp;",")),"●","")</f>
        <v/>
      </c>
      <c r="V35" s="11" t="str">
        <f aca="false">IF(ISNUMBER(SEARCH(","&amp;$A35&amp;",",","&amp;SUBSTITUTE(INDEX(Propuestas!$E$2:$E$35,20),", ",",")&amp;",")),"●","")</f>
        <v>●</v>
      </c>
      <c r="W35" s="11" t="str">
        <f aca="false">IF(ISNUMBER(SEARCH(","&amp;$A35&amp;",",","&amp;SUBSTITUTE(INDEX(Propuestas!$E$2:$E$35,21),", ",",")&amp;",")),"●","")</f>
        <v/>
      </c>
      <c r="X35" s="11" t="str">
        <f aca="false">IF(ISNUMBER(SEARCH(","&amp;$A35&amp;",",","&amp;SUBSTITUTE(INDEX(Propuestas!$E$2:$E$35,22),", ",",")&amp;",")),"●","")</f>
        <v>●</v>
      </c>
      <c r="Y35" s="11" t="str">
        <f aca="false">IF(ISNUMBER(SEARCH(","&amp;$A35&amp;",",","&amp;SUBSTITUTE(INDEX(Propuestas!$E$2:$E$35,23),", ",",")&amp;",")),"●","")</f>
        <v/>
      </c>
      <c r="Z35" s="11" t="str">
        <f aca="false">IF(ISNUMBER(SEARCH(","&amp;$A35&amp;",",","&amp;SUBSTITUTE(INDEX(Propuestas!$E$2:$E$35,24),", ",",")&amp;",")),"●","")</f>
        <v>●</v>
      </c>
      <c r="AA35" s="11" t="str">
        <f aca="false">IF(ISNUMBER(SEARCH(","&amp;$A35&amp;",",","&amp;SUBSTITUTE(INDEX(Propuestas!$E$2:$E$35,25),", ",",")&amp;",")),"●","")</f>
        <v/>
      </c>
      <c r="AB35" s="11" t="str">
        <f aca="false">IF(ISNUMBER(SEARCH(","&amp;$A35&amp;",",","&amp;SUBSTITUTE(INDEX(Propuestas!$E$2:$E$35,26),", ",",")&amp;",")),"●","")</f>
        <v/>
      </c>
      <c r="AC35" s="11" t="str">
        <f aca="false">IF(ISNUMBER(SEARCH(","&amp;$A35&amp;",",","&amp;SUBSTITUTE(INDEX(Propuestas!$E$2:$E$35,27),", ",",")&amp;",")),"●","")</f>
        <v/>
      </c>
      <c r="AD35" s="11" t="str">
        <f aca="false">IF(ISNUMBER(SEARCH(","&amp;$A35&amp;",",","&amp;SUBSTITUTE(INDEX(Propuestas!$E$2:$E$35,28),", ",",")&amp;",")),"●","")</f>
        <v/>
      </c>
      <c r="AE35" s="11" t="str">
        <f aca="false">IF(ISNUMBER(SEARCH(","&amp;$A35&amp;",",","&amp;SUBSTITUTE(INDEX(Propuestas!$E$2:$E$35,29),", ",",")&amp;",")),"●","")</f>
        <v/>
      </c>
      <c r="AF35" s="11" t="str">
        <f aca="false">IF(ISNUMBER(SEARCH(","&amp;$A35&amp;",",","&amp;SUBSTITUTE(INDEX(Propuestas!$E$2:$E$35,30),", ",",")&amp;",")),"●","")</f>
        <v/>
      </c>
      <c r="AG35" s="11" t="str">
        <f aca="false">IF(ISNUMBER(SEARCH(","&amp;$A35&amp;",",","&amp;SUBSTITUTE(INDEX(Propuestas!$E$2:$E$35,31),", ",",")&amp;",")),"●","")</f>
        <v/>
      </c>
      <c r="AH35" s="11" t="str">
        <f aca="false">IF(ISNUMBER(SEARCH(","&amp;$A35&amp;",",","&amp;SUBSTITUTE(INDEX(Propuestas!$E$2:$E$35,32),", ",",")&amp;",")),"●","")</f>
        <v/>
      </c>
      <c r="AI35" s="11" t="str">
        <f aca="false">IF(ISNUMBER(SEARCH(","&amp;$A35&amp;",",","&amp;SUBSTITUTE(INDEX(Propuestas!$E$2:$E$35,33),", ",",")&amp;",")),"●","")</f>
        <v/>
      </c>
      <c r="AJ35" s="11" t="str">
        <f aca="false">IF(ISNUMBER(SEARCH(","&amp;$A35&amp;",",","&amp;SUBSTITUTE(INDEX(Propuestas!$E$2:$E$35,34),", ",",")&amp;",")),"●","")</f>
        <v/>
      </c>
      <c r="AK35" s="10" t="n">
        <f aca="false">COUNTIF(C35:AJ35,"●")</f>
        <v>9</v>
      </c>
    </row>
    <row r="36" customFormat="false" ht="15" hidden="false" customHeight="false" outlineLevel="0" collapsed="false">
      <c r="A36" s="10" t="s">
        <v>606</v>
      </c>
      <c r="B36" s="10" t="n">
        <f aca="false">INDEX(Sindicatos!F:F,MATCH(A36,Sindicatos!A:A,0))</f>
        <v>3</v>
      </c>
      <c r="C36" s="11" t="str">
        <f aca="false">IF(ISNUMBER(SEARCH(","&amp;$A36&amp;",",","&amp;SUBSTITUTE(INDEX(Propuestas!$E$2:$E$35,1),", ",",")&amp;",")),"●","")</f>
        <v>●</v>
      </c>
      <c r="D36" s="11" t="str">
        <f aca="false">IF(ISNUMBER(SEARCH(","&amp;$A36&amp;",",","&amp;SUBSTITUTE(INDEX(Propuestas!$E$2:$E$35,2),", ",",")&amp;",")),"●","")</f>
        <v>●</v>
      </c>
      <c r="E36" s="11" t="str">
        <f aca="false">IF(ISNUMBER(SEARCH(","&amp;$A36&amp;",",","&amp;SUBSTITUTE(INDEX(Propuestas!$E$2:$E$35,3),", ",",")&amp;",")),"●","")</f>
        <v/>
      </c>
      <c r="F36" s="11" t="str">
        <f aca="false">IF(ISNUMBER(SEARCH(","&amp;$A36&amp;",",","&amp;SUBSTITUTE(INDEX(Propuestas!$E$2:$E$35,4),", ",",")&amp;",")),"●","")</f>
        <v/>
      </c>
      <c r="G36" s="11" t="str">
        <f aca="false">IF(ISNUMBER(SEARCH(","&amp;$A36&amp;",",","&amp;SUBSTITUTE(INDEX(Propuestas!$E$2:$E$35,5),", ",",")&amp;",")),"●","")</f>
        <v/>
      </c>
      <c r="H36" s="11" t="str">
        <f aca="false">IF(ISNUMBER(SEARCH(","&amp;$A36&amp;",",","&amp;SUBSTITUTE(INDEX(Propuestas!$E$2:$E$35,6),", ",",")&amp;",")),"●","")</f>
        <v/>
      </c>
      <c r="I36" s="11" t="str">
        <f aca="false">IF(ISNUMBER(SEARCH(","&amp;$A36&amp;",",","&amp;SUBSTITUTE(INDEX(Propuestas!$E$2:$E$35,7),", ",",")&amp;",")),"●","")</f>
        <v/>
      </c>
      <c r="J36" s="11" t="str">
        <f aca="false">IF(ISNUMBER(SEARCH(","&amp;$A36&amp;",",","&amp;SUBSTITUTE(INDEX(Propuestas!$E$2:$E$35,8),", ",",")&amp;",")),"●","")</f>
        <v/>
      </c>
      <c r="K36" s="11" t="str">
        <f aca="false">IF(ISNUMBER(SEARCH(","&amp;$A36&amp;",",","&amp;SUBSTITUTE(INDEX(Propuestas!$E$2:$E$35,9),", ",",")&amp;",")),"●","")</f>
        <v/>
      </c>
      <c r="L36" s="11" t="str">
        <f aca="false">IF(ISNUMBER(SEARCH(","&amp;$A36&amp;",",","&amp;SUBSTITUTE(INDEX(Propuestas!$E$2:$E$35,10),", ",",")&amp;",")),"●","")</f>
        <v>●</v>
      </c>
      <c r="M36" s="11" t="str">
        <f aca="false">IF(ISNUMBER(SEARCH(","&amp;$A36&amp;",",","&amp;SUBSTITUTE(INDEX(Propuestas!$E$2:$E$35,11),", ",",")&amp;",")),"●","")</f>
        <v/>
      </c>
      <c r="N36" s="11" t="str">
        <f aca="false">IF(ISNUMBER(SEARCH(","&amp;$A36&amp;",",","&amp;SUBSTITUTE(INDEX(Propuestas!$E$2:$E$35,12),", ",",")&amp;",")),"●","")</f>
        <v>●</v>
      </c>
      <c r="O36" s="11" t="str">
        <f aca="false">IF(ISNUMBER(SEARCH(","&amp;$A36&amp;",",","&amp;SUBSTITUTE(INDEX(Propuestas!$E$2:$E$35,13),", ",",")&amp;",")),"●","")</f>
        <v/>
      </c>
      <c r="P36" s="11" t="str">
        <f aca="false">IF(ISNUMBER(SEARCH(","&amp;$A36&amp;",",","&amp;SUBSTITUTE(INDEX(Propuestas!$E$2:$E$35,14),", ",",")&amp;",")),"●","")</f>
        <v/>
      </c>
      <c r="Q36" s="11" t="str">
        <f aca="false">IF(ISNUMBER(SEARCH(","&amp;$A36&amp;",",","&amp;SUBSTITUTE(INDEX(Propuestas!$E$2:$E$35,15),", ",",")&amp;",")),"●","")</f>
        <v>●</v>
      </c>
      <c r="R36" s="11" t="str">
        <f aca="false">IF(ISNUMBER(SEARCH(","&amp;$A36&amp;",",","&amp;SUBSTITUTE(INDEX(Propuestas!$E$2:$E$35,16),", ",",")&amp;",")),"●","")</f>
        <v/>
      </c>
      <c r="S36" s="11" t="str">
        <f aca="false">IF(ISNUMBER(SEARCH(","&amp;$A36&amp;",",","&amp;SUBSTITUTE(INDEX(Propuestas!$E$2:$E$35,17),", ",",")&amp;",")),"●","")</f>
        <v>●</v>
      </c>
      <c r="T36" s="11" t="str">
        <f aca="false">IF(ISNUMBER(SEARCH(","&amp;$A36&amp;",",","&amp;SUBSTITUTE(INDEX(Propuestas!$E$2:$E$35,18),", ",",")&amp;",")),"●","")</f>
        <v/>
      </c>
      <c r="U36" s="11" t="str">
        <f aca="false">IF(ISNUMBER(SEARCH(","&amp;$A36&amp;",",","&amp;SUBSTITUTE(INDEX(Propuestas!$E$2:$E$35,19),", ",",")&amp;",")),"●","")</f>
        <v/>
      </c>
      <c r="V36" s="11" t="str">
        <f aca="false">IF(ISNUMBER(SEARCH(","&amp;$A36&amp;",",","&amp;SUBSTITUTE(INDEX(Propuestas!$E$2:$E$35,20),", ",",")&amp;",")),"●","")</f>
        <v>●</v>
      </c>
      <c r="W36" s="11" t="str">
        <f aca="false">IF(ISNUMBER(SEARCH(","&amp;$A36&amp;",",","&amp;SUBSTITUTE(INDEX(Propuestas!$E$2:$E$35,21),", ",",")&amp;",")),"●","")</f>
        <v>●</v>
      </c>
      <c r="X36" s="11" t="str">
        <f aca="false">IF(ISNUMBER(SEARCH(","&amp;$A36&amp;",",","&amp;SUBSTITUTE(INDEX(Propuestas!$E$2:$E$35,22),", ",",")&amp;",")),"●","")</f>
        <v>●</v>
      </c>
      <c r="Y36" s="11" t="str">
        <f aca="false">IF(ISNUMBER(SEARCH(","&amp;$A36&amp;",",","&amp;SUBSTITUTE(INDEX(Propuestas!$E$2:$E$35,23),", ",",")&amp;",")),"●","")</f>
        <v>●</v>
      </c>
      <c r="Z36" s="11" t="str">
        <f aca="false">IF(ISNUMBER(SEARCH(","&amp;$A36&amp;",",","&amp;SUBSTITUTE(INDEX(Propuestas!$E$2:$E$35,24),", ",",")&amp;",")),"●","")</f>
        <v/>
      </c>
      <c r="AA36" s="11" t="str">
        <f aca="false">IF(ISNUMBER(SEARCH(","&amp;$A36&amp;",",","&amp;SUBSTITUTE(INDEX(Propuestas!$E$2:$E$35,25),", ",",")&amp;",")),"●","")</f>
        <v/>
      </c>
      <c r="AB36" s="11" t="str">
        <f aca="false">IF(ISNUMBER(SEARCH(","&amp;$A36&amp;",",","&amp;SUBSTITUTE(INDEX(Propuestas!$E$2:$E$35,26),", ",",")&amp;",")),"●","")</f>
        <v/>
      </c>
      <c r="AC36" s="11" t="str">
        <f aca="false">IF(ISNUMBER(SEARCH(","&amp;$A36&amp;",",","&amp;SUBSTITUTE(INDEX(Propuestas!$E$2:$E$35,27),", ",",")&amp;",")),"●","")</f>
        <v/>
      </c>
      <c r="AD36" s="11" t="str">
        <f aca="false">IF(ISNUMBER(SEARCH(","&amp;$A36&amp;",",","&amp;SUBSTITUTE(INDEX(Propuestas!$E$2:$E$35,28),", ",",")&amp;",")),"●","")</f>
        <v>●</v>
      </c>
      <c r="AE36" s="11" t="str">
        <f aca="false">IF(ISNUMBER(SEARCH(","&amp;$A36&amp;",",","&amp;SUBSTITUTE(INDEX(Propuestas!$E$2:$E$35,29),", ",",")&amp;",")),"●","")</f>
        <v>●</v>
      </c>
      <c r="AF36" s="11" t="str">
        <f aca="false">IF(ISNUMBER(SEARCH(","&amp;$A36&amp;",",","&amp;SUBSTITUTE(INDEX(Propuestas!$E$2:$E$35,30),", ",",")&amp;",")),"●","")</f>
        <v/>
      </c>
      <c r="AG36" s="11" t="str">
        <f aca="false">IF(ISNUMBER(SEARCH(","&amp;$A36&amp;",",","&amp;SUBSTITUTE(INDEX(Propuestas!$E$2:$E$35,31),", ",",")&amp;",")),"●","")</f>
        <v/>
      </c>
      <c r="AH36" s="11" t="str">
        <f aca="false">IF(ISNUMBER(SEARCH(","&amp;$A36&amp;",",","&amp;SUBSTITUTE(INDEX(Propuestas!$E$2:$E$35,32),", ",",")&amp;",")),"●","")</f>
        <v/>
      </c>
      <c r="AI36" s="11" t="str">
        <f aca="false">IF(ISNUMBER(SEARCH(","&amp;$A36&amp;",",","&amp;SUBSTITUTE(INDEX(Propuestas!$E$2:$E$35,33),", ",",")&amp;",")),"●","")</f>
        <v/>
      </c>
      <c r="AJ36" s="11" t="str">
        <f aca="false">IF(ISNUMBER(SEARCH(","&amp;$A36&amp;",",","&amp;SUBSTITUTE(INDEX(Propuestas!$E$2:$E$35,34),", ",",")&amp;",")),"●","")</f>
        <v/>
      </c>
      <c r="AK36" s="10" t="n">
        <f aca="false">COUNTIF(C36:AJ36,"●")</f>
        <v>12</v>
      </c>
    </row>
    <row r="37" customFormat="false" ht="15" hidden="false" customHeight="false" outlineLevel="0" collapsed="false">
      <c r="A37" s="10" t="s">
        <v>614</v>
      </c>
      <c r="B37" s="10" t="n">
        <f aca="false">INDEX(Sindicatos!F:F,MATCH(A37,Sindicatos!A:A,0))</f>
        <v>3</v>
      </c>
      <c r="C37" s="11" t="str">
        <f aca="false">IF(ISNUMBER(SEARCH(","&amp;$A37&amp;",",","&amp;SUBSTITUTE(INDEX(Propuestas!$E$2:$E$35,1),", ",",")&amp;",")),"●","")</f>
        <v/>
      </c>
      <c r="D37" s="11" t="str">
        <f aca="false">IF(ISNUMBER(SEARCH(","&amp;$A37&amp;",",","&amp;SUBSTITUTE(INDEX(Propuestas!$E$2:$E$35,2),", ",",")&amp;",")),"●","")</f>
        <v/>
      </c>
      <c r="E37" s="11" t="str">
        <f aca="false">IF(ISNUMBER(SEARCH(","&amp;$A37&amp;",",","&amp;SUBSTITUTE(INDEX(Propuestas!$E$2:$E$35,3),", ",",")&amp;",")),"●","")</f>
        <v>●</v>
      </c>
      <c r="F37" s="11" t="str">
        <f aca="false">IF(ISNUMBER(SEARCH(","&amp;$A37&amp;",",","&amp;SUBSTITUTE(INDEX(Propuestas!$E$2:$E$35,4),", ",",")&amp;",")),"●","")</f>
        <v/>
      </c>
      <c r="G37" s="11" t="str">
        <f aca="false">IF(ISNUMBER(SEARCH(","&amp;$A37&amp;",",","&amp;SUBSTITUTE(INDEX(Propuestas!$E$2:$E$35,5),", ",",")&amp;",")),"●","")</f>
        <v/>
      </c>
      <c r="H37" s="11" t="str">
        <f aca="false">IF(ISNUMBER(SEARCH(","&amp;$A37&amp;",",","&amp;SUBSTITUTE(INDEX(Propuestas!$E$2:$E$35,6),", ",",")&amp;",")),"●","")</f>
        <v/>
      </c>
      <c r="I37" s="11" t="str">
        <f aca="false">IF(ISNUMBER(SEARCH(","&amp;$A37&amp;",",","&amp;SUBSTITUTE(INDEX(Propuestas!$E$2:$E$35,7),", ",",")&amp;",")),"●","")</f>
        <v>●</v>
      </c>
      <c r="J37" s="11" t="str">
        <f aca="false">IF(ISNUMBER(SEARCH(","&amp;$A37&amp;",",","&amp;SUBSTITUTE(INDEX(Propuestas!$E$2:$E$35,8),", ",",")&amp;",")),"●","")</f>
        <v>●</v>
      </c>
      <c r="K37" s="11" t="str">
        <f aca="false">IF(ISNUMBER(SEARCH(","&amp;$A37&amp;",",","&amp;SUBSTITUTE(INDEX(Propuestas!$E$2:$E$35,9),", ",",")&amp;",")),"●","")</f>
        <v/>
      </c>
      <c r="L37" s="11" t="str">
        <f aca="false">IF(ISNUMBER(SEARCH(","&amp;$A37&amp;",",","&amp;SUBSTITUTE(INDEX(Propuestas!$E$2:$E$35,10),", ",",")&amp;",")),"●","")</f>
        <v/>
      </c>
      <c r="M37" s="11" t="str">
        <f aca="false">IF(ISNUMBER(SEARCH(","&amp;$A37&amp;",",","&amp;SUBSTITUTE(INDEX(Propuestas!$E$2:$E$35,11),", ",",")&amp;",")),"●","")</f>
        <v/>
      </c>
      <c r="N37" s="11" t="str">
        <f aca="false">IF(ISNUMBER(SEARCH(","&amp;$A37&amp;",",","&amp;SUBSTITUTE(INDEX(Propuestas!$E$2:$E$35,12),", ",",")&amp;",")),"●","")</f>
        <v/>
      </c>
      <c r="O37" s="11" t="str">
        <f aca="false">IF(ISNUMBER(SEARCH(","&amp;$A37&amp;",",","&amp;SUBSTITUTE(INDEX(Propuestas!$E$2:$E$35,13),", ",",")&amp;",")),"●","")</f>
        <v/>
      </c>
      <c r="P37" s="11" t="str">
        <f aca="false">IF(ISNUMBER(SEARCH(","&amp;$A37&amp;",",","&amp;SUBSTITUTE(INDEX(Propuestas!$E$2:$E$35,14),", ",",")&amp;",")),"●","")</f>
        <v/>
      </c>
      <c r="Q37" s="11" t="str">
        <f aca="false">IF(ISNUMBER(SEARCH(","&amp;$A37&amp;",",","&amp;SUBSTITUTE(INDEX(Propuestas!$E$2:$E$35,15),", ",",")&amp;",")),"●","")</f>
        <v>●</v>
      </c>
      <c r="R37" s="11" t="str">
        <f aca="false">IF(ISNUMBER(SEARCH(","&amp;$A37&amp;",",","&amp;SUBSTITUTE(INDEX(Propuestas!$E$2:$E$35,16),", ",",")&amp;",")),"●","")</f>
        <v/>
      </c>
      <c r="S37" s="11" t="str">
        <f aca="false">IF(ISNUMBER(SEARCH(","&amp;$A37&amp;",",","&amp;SUBSTITUTE(INDEX(Propuestas!$E$2:$E$35,17),", ",",")&amp;",")),"●","")</f>
        <v>●</v>
      </c>
      <c r="T37" s="11" t="str">
        <f aca="false">IF(ISNUMBER(SEARCH(","&amp;$A37&amp;",",","&amp;SUBSTITUTE(INDEX(Propuestas!$E$2:$E$35,18),", ",",")&amp;",")),"●","")</f>
        <v/>
      </c>
      <c r="U37" s="11" t="str">
        <f aca="false">IF(ISNUMBER(SEARCH(","&amp;$A37&amp;",",","&amp;SUBSTITUTE(INDEX(Propuestas!$E$2:$E$35,19),", ",",")&amp;",")),"●","")</f>
        <v>●</v>
      </c>
      <c r="V37" s="11" t="str">
        <f aca="false">IF(ISNUMBER(SEARCH(","&amp;$A37&amp;",",","&amp;SUBSTITUTE(INDEX(Propuestas!$E$2:$E$35,20),", ",",")&amp;",")),"●","")</f>
        <v>●</v>
      </c>
      <c r="W37" s="11" t="str">
        <f aca="false">IF(ISNUMBER(SEARCH(","&amp;$A37&amp;",",","&amp;SUBSTITUTE(INDEX(Propuestas!$E$2:$E$35,21),", ",",")&amp;",")),"●","")</f>
        <v>●</v>
      </c>
      <c r="X37" s="11" t="str">
        <f aca="false">IF(ISNUMBER(SEARCH(","&amp;$A37&amp;",",","&amp;SUBSTITUTE(INDEX(Propuestas!$E$2:$E$35,22),", ",",")&amp;",")),"●","")</f>
        <v/>
      </c>
      <c r="Y37" s="11" t="str">
        <f aca="false">IF(ISNUMBER(SEARCH(","&amp;$A37&amp;",",","&amp;SUBSTITUTE(INDEX(Propuestas!$E$2:$E$35,23),", ",",")&amp;",")),"●","")</f>
        <v>●</v>
      </c>
      <c r="Z37" s="11" t="str">
        <f aca="false">IF(ISNUMBER(SEARCH(","&amp;$A37&amp;",",","&amp;SUBSTITUTE(INDEX(Propuestas!$E$2:$E$35,24),", ",",")&amp;",")),"●","")</f>
        <v/>
      </c>
      <c r="AA37" s="11" t="str">
        <f aca="false">IF(ISNUMBER(SEARCH(","&amp;$A37&amp;",",","&amp;SUBSTITUTE(INDEX(Propuestas!$E$2:$E$35,25),", ",",")&amp;",")),"●","")</f>
        <v/>
      </c>
      <c r="AB37" s="11" t="str">
        <f aca="false">IF(ISNUMBER(SEARCH(","&amp;$A37&amp;",",","&amp;SUBSTITUTE(INDEX(Propuestas!$E$2:$E$35,26),", ",",")&amp;",")),"●","")</f>
        <v/>
      </c>
      <c r="AC37" s="11" t="str">
        <f aca="false">IF(ISNUMBER(SEARCH(","&amp;$A37&amp;",",","&amp;SUBSTITUTE(INDEX(Propuestas!$E$2:$E$35,27),", ",",")&amp;",")),"●","")</f>
        <v/>
      </c>
      <c r="AD37" s="11" t="str">
        <f aca="false">IF(ISNUMBER(SEARCH(","&amp;$A37&amp;",",","&amp;SUBSTITUTE(INDEX(Propuestas!$E$2:$E$35,28),", ",",")&amp;",")),"●","")</f>
        <v/>
      </c>
      <c r="AE37" s="11" t="str">
        <f aca="false">IF(ISNUMBER(SEARCH(","&amp;$A37&amp;",",","&amp;SUBSTITUTE(INDEX(Propuestas!$E$2:$E$35,29),", ",",")&amp;",")),"●","")</f>
        <v>●</v>
      </c>
      <c r="AF37" s="11" t="str">
        <f aca="false">IF(ISNUMBER(SEARCH(","&amp;$A37&amp;",",","&amp;SUBSTITUTE(INDEX(Propuestas!$E$2:$E$35,30),", ",",")&amp;",")),"●","")</f>
        <v/>
      </c>
      <c r="AG37" s="11" t="str">
        <f aca="false">IF(ISNUMBER(SEARCH(","&amp;$A37&amp;",",","&amp;SUBSTITUTE(INDEX(Propuestas!$E$2:$E$35,31),", ",",")&amp;",")),"●","")</f>
        <v/>
      </c>
      <c r="AH37" s="11" t="str">
        <f aca="false">IF(ISNUMBER(SEARCH(","&amp;$A37&amp;",",","&amp;SUBSTITUTE(INDEX(Propuestas!$E$2:$E$35,32),", ",",")&amp;",")),"●","")</f>
        <v/>
      </c>
      <c r="AI37" s="11" t="str">
        <f aca="false">IF(ISNUMBER(SEARCH(","&amp;$A37&amp;",",","&amp;SUBSTITUTE(INDEX(Propuestas!$E$2:$E$35,33),", ",",")&amp;",")),"●","")</f>
        <v/>
      </c>
      <c r="AJ37" s="11" t="str">
        <f aca="false">IF(ISNUMBER(SEARCH(","&amp;$A37&amp;",",","&amp;SUBSTITUTE(INDEX(Propuestas!$E$2:$E$35,34),", ",",")&amp;",")),"●","")</f>
        <v/>
      </c>
      <c r="AK37" s="10" t="n">
        <f aca="false">COUNTIF(C37:AJ37,"●")</f>
        <v>10</v>
      </c>
    </row>
    <row r="38" customFormat="false" ht="15" hidden="false" customHeight="false" outlineLevel="0" collapsed="false">
      <c r="A38" s="10" t="s">
        <v>622</v>
      </c>
      <c r="B38" s="10" t="n">
        <f aca="false">INDEX(Sindicatos!F:F,MATCH(A38,Sindicatos!A:A,0))</f>
        <v>2</v>
      </c>
      <c r="C38" s="11" t="str">
        <f aca="false">IF(ISNUMBER(SEARCH(","&amp;$A38&amp;",",","&amp;SUBSTITUTE(INDEX(Propuestas!$E$2:$E$35,1),", ",",")&amp;",")),"●","")</f>
        <v/>
      </c>
      <c r="D38" s="11" t="str">
        <f aca="false">IF(ISNUMBER(SEARCH(","&amp;$A38&amp;",",","&amp;SUBSTITUTE(INDEX(Propuestas!$E$2:$E$35,2),", ",",")&amp;",")),"●","")</f>
        <v>●</v>
      </c>
      <c r="E38" s="11" t="str">
        <f aca="false">IF(ISNUMBER(SEARCH(","&amp;$A38&amp;",",","&amp;SUBSTITUTE(INDEX(Propuestas!$E$2:$E$35,3),", ",",")&amp;",")),"●","")</f>
        <v/>
      </c>
      <c r="F38" s="11" t="str">
        <f aca="false">IF(ISNUMBER(SEARCH(","&amp;$A38&amp;",",","&amp;SUBSTITUTE(INDEX(Propuestas!$E$2:$E$35,4),", ",",")&amp;",")),"●","")</f>
        <v>●</v>
      </c>
      <c r="G38" s="11" t="str">
        <f aca="false">IF(ISNUMBER(SEARCH(","&amp;$A38&amp;",",","&amp;SUBSTITUTE(INDEX(Propuestas!$E$2:$E$35,5),", ",",")&amp;",")),"●","")</f>
        <v/>
      </c>
      <c r="H38" s="11" t="str">
        <f aca="false">IF(ISNUMBER(SEARCH(","&amp;$A38&amp;",",","&amp;SUBSTITUTE(INDEX(Propuestas!$E$2:$E$35,6),", ",",")&amp;",")),"●","")</f>
        <v/>
      </c>
      <c r="I38" s="11" t="str">
        <f aca="false">IF(ISNUMBER(SEARCH(","&amp;$A38&amp;",",","&amp;SUBSTITUTE(INDEX(Propuestas!$E$2:$E$35,7),", ",",")&amp;",")),"●","")</f>
        <v/>
      </c>
      <c r="J38" s="11" t="str">
        <f aca="false">IF(ISNUMBER(SEARCH(","&amp;$A38&amp;",",","&amp;SUBSTITUTE(INDEX(Propuestas!$E$2:$E$35,8),", ",",")&amp;",")),"●","")</f>
        <v/>
      </c>
      <c r="K38" s="11" t="str">
        <f aca="false">IF(ISNUMBER(SEARCH(","&amp;$A38&amp;",",","&amp;SUBSTITUTE(INDEX(Propuestas!$E$2:$E$35,9),", ",",")&amp;",")),"●","")</f>
        <v/>
      </c>
      <c r="L38" s="11" t="str">
        <f aca="false">IF(ISNUMBER(SEARCH(","&amp;$A38&amp;",",","&amp;SUBSTITUTE(INDEX(Propuestas!$E$2:$E$35,10),", ",",")&amp;",")),"●","")</f>
        <v/>
      </c>
      <c r="M38" s="11" t="str">
        <f aca="false">IF(ISNUMBER(SEARCH(","&amp;$A38&amp;",",","&amp;SUBSTITUTE(INDEX(Propuestas!$E$2:$E$35,11),", ",",")&amp;",")),"●","")</f>
        <v/>
      </c>
      <c r="N38" s="11" t="str">
        <f aca="false">IF(ISNUMBER(SEARCH(","&amp;$A38&amp;",",","&amp;SUBSTITUTE(INDEX(Propuestas!$E$2:$E$35,12),", ",",")&amp;",")),"●","")</f>
        <v>●</v>
      </c>
      <c r="O38" s="11" t="str">
        <f aca="false">IF(ISNUMBER(SEARCH(","&amp;$A38&amp;",",","&amp;SUBSTITUTE(INDEX(Propuestas!$E$2:$E$35,13),", ",",")&amp;",")),"●","")</f>
        <v/>
      </c>
      <c r="P38" s="11" t="str">
        <f aca="false">IF(ISNUMBER(SEARCH(","&amp;$A38&amp;",",","&amp;SUBSTITUTE(INDEX(Propuestas!$E$2:$E$35,14),", ",",")&amp;",")),"●","")</f>
        <v/>
      </c>
      <c r="Q38" s="11" t="str">
        <f aca="false">IF(ISNUMBER(SEARCH(","&amp;$A38&amp;",",","&amp;SUBSTITUTE(INDEX(Propuestas!$E$2:$E$35,15),", ",",")&amp;",")),"●","")</f>
        <v/>
      </c>
      <c r="R38" s="11" t="str">
        <f aca="false">IF(ISNUMBER(SEARCH(","&amp;$A38&amp;",",","&amp;SUBSTITUTE(INDEX(Propuestas!$E$2:$E$35,16),", ",",")&amp;",")),"●","")</f>
        <v/>
      </c>
      <c r="S38" s="11" t="str">
        <f aca="false">IF(ISNUMBER(SEARCH(","&amp;$A38&amp;",",","&amp;SUBSTITUTE(INDEX(Propuestas!$E$2:$E$35,17),", ",",")&amp;",")),"●","")</f>
        <v/>
      </c>
      <c r="T38" s="11" t="str">
        <f aca="false">IF(ISNUMBER(SEARCH(","&amp;$A38&amp;",",","&amp;SUBSTITUTE(INDEX(Propuestas!$E$2:$E$35,18),", ",",")&amp;",")),"●","")</f>
        <v/>
      </c>
      <c r="U38" s="11" t="str">
        <f aca="false">IF(ISNUMBER(SEARCH(","&amp;$A38&amp;",",","&amp;SUBSTITUTE(INDEX(Propuestas!$E$2:$E$35,19),", ",",")&amp;",")),"●","")</f>
        <v/>
      </c>
      <c r="V38" s="11" t="str">
        <f aca="false">IF(ISNUMBER(SEARCH(","&amp;$A38&amp;",",","&amp;SUBSTITUTE(INDEX(Propuestas!$E$2:$E$35,20),", ",",")&amp;",")),"●","")</f>
        <v>●</v>
      </c>
      <c r="W38" s="11" t="str">
        <f aca="false">IF(ISNUMBER(SEARCH(","&amp;$A38&amp;",",","&amp;SUBSTITUTE(INDEX(Propuestas!$E$2:$E$35,21),", ",",")&amp;",")),"●","")</f>
        <v>●</v>
      </c>
      <c r="X38" s="11" t="str">
        <f aca="false">IF(ISNUMBER(SEARCH(","&amp;$A38&amp;",",","&amp;SUBSTITUTE(INDEX(Propuestas!$E$2:$E$35,22),", ",",")&amp;",")),"●","")</f>
        <v>●</v>
      </c>
      <c r="Y38" s="11" t="str">
        <f aca="false">IF(ISNUMBER(SEARCH(","&amp;$A38&amp;",",","&amp;SUBSTITUTE(INDEX(Propuestas!$E$2:$E$35,23),", ",",")&amp;",")),"●","")</f>
        <v>●</v>
      </c>
      <c r="Z38" s="11" t="str">
        <f aca="false">IF(ISNUMBER(SEARCH(","&amp;$A38&amp;",",","&amp;SUBSTITUTE(INDEX(Propuestas!$E$2:$E$35,24),", ",",")&amp;",")),"●","")</f>
        <v>●</v>
      </c>
      <c r="AA38" s="11" t="str">
        <f aca="false">IF(ISNUMBER(SEARCH(","&amp;$A38&amp;",",","&amp;SUBSTITUTE(INDEX(Propuestas!$E$2:$E$35,25),", ",",")&amp;",")),"●","")</f>
        <v/>
      </c>
      <c r="AB38" s="11" t="str">
        <f aca="false">IF(ISNUMBER(SEARCH(","&amp;$A38&amp;",",","&amp;SUBSTITUTE(INDEX(Propuestas!$E$2:$E$35,26),", ",",")&amp;",")),"●","")</f>
        <v>●</v>
      </c>
      <c r="AC38" s="11" t="str">
        <f aca="false">IF(ISNUMBER(SEARCH(","&amp;$A38&amp;",",","&amp;SUBSTITUTE(INDEX(Propuestas!$E$2:$E$35,27),", ",",")&amp;",")),"●","")</f>
        <v/>
      </c>
      <c r="AD38" s="11" t="str">
        <f aca="false">IF(ISNUMBER(SEARCH(","&amp;$A38&amp;",",","&amp;SUBSTITUTE(INDEX(Propuestas!$E$2:$E$35,28),", ",",")&amp;",")),"●","")</f>
        <v/>
      </c>
      <c r="AE38" s="11" t="str">
        <f aca="false">IF(ISNUMBER(SEARCH(","&amp;$A38&amp;",",","&amp;SUBSTITUTE(INDEX(Propuestas!$E$2:$E$35,29),", ",",")&amp;",")),"●","")</f>
        <v>●</v>
      </c>
      <c r="AF38" s="11" t="str">
        <f aca="false">IF(ISNUMBER(SEARCH(","&amp;$A38&amp;",",","&amp;SUBSTITUTE(INDEX(Propuestas!$E$2:$E$35,30),", ",",")&amp;",")),"●","")</f>
        <v/>
      </c>
      <c r="AG38" s="11" t="str">
        <f aca="false">IF(ISNUMBER(SEARCH(","&amp;$A38&amp;",",","&amp;SUBSTITUTE(INDEX(Propuestas!$E$2:$E$35,31),", ",",")&amp;",")),"●","")</f>
        <v/>
      </c>
      <c r="AH38" s="11" t="str">
        <f aca="false">IF(ISNUMBER(SEARCH(","&amp;$A38&amp;",",","&amp;SUBSTITUTE(INDEX(Propuestas!$E$2:$E$35,32),", ",",")&amp;",")),"●","")</f>
        <v>●</v>
      </c>
      <c r="AI38" s="11" t="str">
        <f aca="false">IF(ISNUMBER(SEARCH(","&amp;$A38&amp;",",","&amp;SUBSTITUTE(INDEX(Propuestas!$E$2:$E$35,33),", ",",")&amp;",")),"●","")</f>
        <v/>
      </c>
      <c r="AJ38" s="11" t="str">
        <f aca="false">IF(ISNUMBER(SEARCH(","&amp;$A38&amp;",",","&amp;SUBSTITUTE(INDEX(Propuestas!$E$2:$E$35,34),", ",",")&amp;",")),"●","")</f>
        <v>●</v>
      </c>
      <c r="AK38" s="10" t="n">
        <f aca="false">COUNTIF(C38:AJ38,"●")</f>
        <v>12</v>
      </c>
    </row>
    <row r="39" customFormat="false" ht="15" hidden="false" customHeight="false" outlineLevel="0" collapsed="false">
      <c r="A39" s="10" t="s">
        <v>630</v>
      </c>
      <c r="B39" s="10" t="n">
        <f aca="false">INDEX(Sindicatos!F:F,MATCH(A39,Sindicatos!A:A,0))</f>
        <v>2</v>
      </c>
      <c r="C39" s="11" t="str">
        <f aca="false">IF(ISNUMBER(SEARCH(","&amp;$A39&amp;",",","&amp;SUBSTITUTE(INDEX(Propuestas!$E$2:$E$35,1),", ",",")&amp;",")),"●","")</f>
        <v/>
      </c>
      <c r="D39" s="11" t="str">
        <f aca="false">IF(ISNUMBER(SEARCH(","&amp;$A39&amp;",",","&amp;SUBSTITUTE(INDEX(Propuestas!$E$2:$E$35,2),", ",",")&amp;",")),"●","")</f>
        <v/>
      </c>
      <c r="E39" s="11" t="str">
        <f aca="false">IF(ISNUMBER(SEARCH(","&amp;$A39&amp;",",","&amp;SUBSTITUTE(INDEX(Propuestas!$E$2:$E$35,3),", ",",")&amp;",")),"●","")</f>
        <v/>
      </c>
      <c r="F39" s="11" t="str">
        <f aca="false">IF(ISNUMBER(SEARCH(","&amp;$A39&amp;",",","&amp;SUBSTITUTE(INDEX(Propuestas!$E$2:$E$35,4),", ",",")&amp;",")),"●","")</f>
        <v/>
      </c>
      <c r="G39" s="11" t="str">
        <f aca="false">IF(ISNUMBER(SEARCH(","&amp;$A39&amp;",",","&amp;SUBSTITUTE(INDEX(Propuestas!$E$2:$E$35,5),", ",",")&amp;",")),"●","")</f>
        <v/>
      </c>
      <c r="H39" s="11" t="str">
        <f aca="false">IF(ISNUMBER(SEARCH(","&amp;$A39&amp;",",","&amp;SUBSTITUTE(INDEX(Propuestas!$E$2:$E$35,6),", ",",")&amp;",")),"●","")</f>
        <v/>
      </c>
      <c r="I39" s="11" t="str">
        <f aca="false">IF(ISNUMBER(SEARCH(","&amp;$A39&amp;",",","&amp;SUBSTITUTE(INDEX(Propuestas!$E$2:$E$35,7),", ",",")&amp;",")),"●","")</f>
        <v/>
      </c>
      <c r="J39" s="11" t="str">
        <f aca="false">IF(ISNUMBER(SEARCH(","&amp;$A39&amp;",",","&amp;SUBSTITUTE(INDEX(Propuestas!$E$2:$E$35,8),", ",",")&amp;",")),"●","")</f>
        <v/>
      </c>
      <c r="K39" s="11" t="str">
        <f aca="false">IF(ISNUMBER(SEARCH(","&amp;$A39&amp;",",","&amp;SUBSTITUTE(INDEX(Propuestas!$E$2:$E$35,9),", ",",")&amp;",")),"●","")</f>
        <v/>
      </c>
      <c r="L39" s="11" t="str">
        <f aca="false">IF(ISNUMBER(SEARCH(","&amp;$A39&amp;",",","&amp;SUBSTITUTE(INDEX(Propuestas!$E$2:$E$35,10),", ",",")&amp;",")),"●","")</f>
        <v/>
      </c>
      <c r="M39" s="11" t="str">
        <f aca="false">IF(ISNUMBER(SEARCH(","&amp;$A39&amp;",",","&amp;SUBSTITUTE(INDEX(Propuestas!$E$2:$E$35,11),", ",",")&amp;",")),"●","")</f>
        <v/>
      </c>
      <c r="N39" s="11" t="str">
        <f aca="false">IF(ISNUMBER(SEARCH(","&amp;$A39&amp;",",","&amp;SUBSTITUTE(INDEX(Propuestas!$E$2:$E$35,12),", ",",")&amp;",")),"●","")</f>
        <v/>
      </c>
      <c r="O39" s="11" t="str">
        <f aca="false">IF(ISNUMBER(SEARCH(","&amp;$A39&amp;",",","&amp;SUBSTITUTE(INDEX(Propuestas!$E$2:$E$35,13),", ",",")&amp;",")),"●","")</f>
        <v/>
      </c>
      <c r="P39" s="11" t="str">
        <f aca="false">IF(ISNUMBER(SEARCH(","&amp;$A39&amp;",",","&amp;SUBSTITUTE(INDEX(Propuestas!$E$2:$E$35,14),", ",",")&amp;",")),"●","")</f>
        <v/>
      </c>
      <c r="Q39" s="11" t="str">
        <f aca="false">IF(ISNUMBER(SEARCH(","&amp;$A39&amp;",",","&amp;SUBSTITUTE(INDEX(Propuestas!$E$2:$E$35,15),", ",",")&amp;",")),"●","")</f>
        <v>●</v>
      </c>
      <c r="R39" s="11" t="str">
        <f aca="false">IF(ISNUMBER(SEARCH(","&amp;$A39&amp;",",","&amp;SUBSTITUTE(INDEX(Propuestas!$E$2:$E$35,16),", ",",")&amp;",")),"●","")</f>
        <v/>
      </c>
      <c r="S39" s="11" t="str">
        <f aca="false">IF(ISNUMBER(SEARCH(","&amp;$A39&amp;",",","&amp;SUBSTITUTE(INDEX(Propuestas!$E$2:$E$35,17),", ",",")&amp;",")),"●","")</f>
        <v/>
      </c>
      <c r="T39" s="11" t="str">
        <f aca="false">IF(ISNUMBER(SEARCH(","&amp;$A39&amp;",",","&amp;SUBSTITUTE(INDEX(Propuestas!$E$2:$E$35,18),", ",",")&amp;",")),"●","")</f>
        <v>●</v>
      </c>
      <c r="U39" s="11" t="str">
        <f aca="false">IF(ISNUMBER(SEARCH(","&amp;$A39&amp;",",","&amp;SUBSTITUTE(INDEX(Propuestas!$E$2:$E$35,19),", ",",")&amp;",")),"●","")</f>
        <v/>
      </c>
      <c r="V39" s="11" t="str">
        <f aca="false">IF(ISNUMBER(SEARCH(","&amp;$A39&amp;",",","&amp;SUBSTITUTE(INDEX(Propuestas!$E$2:$E$35,20),", ",",")&amp;",")),"●","")</f>
        <v>●</v>
      </c>
      <c r="W39" s="11" t="str">
        <f aca="false">IF(ISNUMBER(SEARCH(","&amp;$A39&amp;",",","&amp;SUBSTITUTE(INDEX(Propuestas!$E$2:$E$35,21),", ",",")&amp;",")),"●","")</f>
        <v>●</v>
      </c>
      <c r="X39" s="11" t="str">
        <f aca="false">IF(ISNUMBER(SEARCH(","&amp;$A39&amp;",",","&amp;SUBSTITUTE(INDEX(Propuestas!$E$2:$E$35,22),", ",",")&amp;",")),"●","")</f>
        <v/>
      </c>
      <c r="Y39" s="11" t="str">
        <f aca="false">IF(ISNUMBER(SEARCH(","&amp;$A39&amp;",",","&amp;SUBSTITUTE(INDEX(Propuestas!$E$2:$E$35,23),", ",",")&amp;",")),"●","")</f>
        <v/>
      </c>
      <c r="Z39" s="11" t="str">
        <f aca="false">IF(ISNUMBER(SEARCH(","&amp;$A39&amp;",",","&amp;SUBSTITUTE(INDEX(Propuestas!$E$2:$E$35,24),", ",",")&amp;",")),"●","")</f>
        <v/>
      </c>
      <c r="AA39" s="11" t="str">
        <f aca="false">IF(ISNUMBER(SEARCH(","&amp;$A39&amp;",",","&amp;SUBSTITUTE(INDEX(Propuestas!$E$2:$E$35,25),", ",",")&amp;",")),"●","")</f>
        <v>●</v>
      </c>
      <c r="AB39" s="11" t="str">
        <f aca="false">IF(ISNUMBER(SEARCH(","&amp;$A39&amp;",",","&amp;SUBSTITUTE(INDEX(Propuestas!$E$2:$E$35,26),", ",",")&amp;",")),"●","")</f>
        <v/>
      </c>
      <c r="AC39" s="11" t="str">
        <f aca="false">IF(ISNUMBER(SEARCH(","&amp;$A39&amp;",",","&amp;SUBSTITUTE(INDEX(Propuestas!$E$2:$E$35,27),", ",",")&amp;",")),"●","")</f>
        <v>●</v>
      </c>
      <c r="AD39" s="11" t="str">
        <f aca="false">IF(ISNUMBER(SEARCH(","&amp;$A39&amp;",",","&amp;SUBSTITUTE(INDEX(Propuestas!$E$2:$E$35,28),", ",",")&amp;",")),"●","")</f>
        <v>●</v>
      </c>
      <c r="AE39" s="11" t="str">
        <f aca="false">IF(ISNUMBER(SEARCH(","&amp;$A39&amp;",",","&amp;SUBSTITUTE(INDEX(Propuestas!$E$2:$E$35,29),", ",",")&amp;",")),"●","")</f>
        <v/>
      </c>
      <c r="AF39" s="11" t="str">
        <f aca="false">IF(ISNUMBER(SEARCH(","&amp;$A39&amp;",",","&amp;SUBSTITUTE(INDEX(Propuestas!$E$2:$E$35,30),", ",",")&amp;",")),"●","")</f>
        <v/>
      </c>
      <c r="AG39" s="11" t="str">
        <f aca="false">IF(ISNUMBER(SEARCH(","&amp;$A39&amp;",",","&amp;SUBSTITUTE(INDEX(Propuestas!$E$2:$E$35,31),", ",",")&amp;",")),"●","")</f>
        <v/>
      </c>
      <c r="AH39" s="11" t="str">
        <f aca="false">IF(ISNUMBER(SEARCH(","&amp;$A39&amp;",",","&amp;SUBSTITUTE(INDEX(Propuestas!$E$2:$E$35,32),", ",",")&amp;",")),"●","")</f>
        <v/>
      </c>
      <c r="AI39" s="11" t="str">
        <f aca="false">IF(ISNUMBER(SEARCH(","&amp;$A39&amp;",",","&amp;SUBSTITUTE(INDEX(Propuestas!$E$2:$E$35,33),", ",",")&amp;",")),"●","")</f>
        <v/>
      </c>
      <c r="AJ39" s="11" t="str">
        <f aca="false">IF(ISNUMBER(SEARCH(","&amp;$A39&amp;",",","&amp;SUBSTITUTE(INDEX(Propuestas!$E$2:$E$35,34),", ",",")&amp;",")),"●","")</f>
        <v/>
      </c>
      <c r="AK39" s="10" t="n">
        <f aca="false">COUNTIF(C39:AJ39,"●")</f>
        <v>7</v>
      </c>
    </row>
    <row r="40" customFormat="false" ht="15" hidden="false" customHeight="false" outlineLevel="0" collapsed="false">
      <c r="A40" s="10" t="s">
        <v>639</v>
      </c>
      <c r="B40" s="10" t="n">
        <f aca="false">INDEX(Sindicatos!F:F,MATCH(A40,Sindicatos!A:A,0))</f>
        <v>2</v>
      </c>
      <c r="C40" s="11" t="str">
        <f aca="false">IF(ISNUMBER(SEARCH(","&amp;$A40&amp;",",","&amp;SUBSTITUTE(INDEX(Propuestas!$E$2:$E$35,1),", ",",")&amp;",")),"●","")</f>
        <v/>
      </c>
      <c r="D40" s="11" t="str">
        <f aca="false">IF(ISNUMBER(SEARCH(","&amp;$A40&amp;",",","&amp;SUBSTITUTE(INDEX(Propuestas!$E$2:$E$35,2),", ",",")&amp;",")),"●","")</f>
        <v/>
      </c>
      <c r="E40" s="11" t="str">
        <f aca="false">IF(ISNUMBER(SEARCH(","&amp;$A40&amp;",",","&amp;SUBSTITUTE(INDEX(Propuestas!$E$2:$E$35,3),", ",",")&amp;",")),"●","")</f>
        <v/>
      </c>
      <c r="F40" s="11" t="str">
        <f aca="false">IF(ISNUMBER(SEARCH(","&amp;$A40&amp;",",","&amp;SUBSTITUTE(INDEX(Propuestas!$E$2:$E$35,4),", ",",")&amp;",")),"●","")</f>
        <v/>
      </c>
      <c r="G40" s="11" t="str">
        <f aca="false">IF(ISNUMBER(SEARCH(","&amp;$A40&amp;",",","&amp;SUBSTITUTE(INDEX(Propuestas!$E$2:$E$35,5),", ",",")&amp;",")),"●","")</f>
        <v/>
      </c>
      <c r="H40" s="11" t="str">
        <f aca="false">IF(ISNUMBER(SEARCH(","&amp;$A40&amp;",",","&amp;SUBSTITUTE(INDEX(Propuestas!$E$2:$E$35,6),", ",",")&amp;",")),"●","")</f>
        <v/>
      </c>
      <c r="I40" s="11" t="str">
        <f aca="false">IF(ISNUMBER(SEARCH(","&amp;$A40&amp;",",","&amp;SUBSTITUTE(INDEX(Propuestas!$E$2:$E$35,7),", ",",")&amp;",")),"●","")</f>
        <v/>
      </c>
      <c r="J40" s="11" t="str">
        <f aca="false">IF(ISNUMBER(SEARCH(","&amp;$A40&amp;",",","&amp;SUBSTITUTE(INDEX(Propuestas!$E$2:$E$35,8),", ",",")&amp;",")),"●","")</f>
        <v/>
      </c>
      <c r="K40" s="11" t="str">
        <f aca="false">IF(ISNUMBER(SEARCH(","&amp;$A40&amp;",",","&amp;SUBSTITUTE(INDEX(Propuestas!$E$2:$E$35,9),", ",",")&amp;",")),"●","")</f>
        <v/>
      </c>
      <c r="L40" s="11" t="str">
        <f aca="false">IF(ISNUMBER(SEARCH(","&amp;$A40&amp;",",","&amp;SUBSTITUTE(INDEX(Propuestas!$E$2:$E$35,10),", ",",")&amp;",")),"●","")</f>
        <v/>
      </c>
      <c r="M40" s="11" t="str">
        <f aca="false">IF(ISNUMBER(SEARCH(","&amp;$A40&amp;",",","&amp;SUBSTITUTE(INDEX(Propuestas!$E$2:$E$35,11),", ",",")&amp;",")),"●","")</f>
        <v/>
      </c>
      <c r="N40" s="11" t="str">
        <f aca="false">IF(ISNUMBER(SEARCH(","&amp;$A40&amp;",",","&amp;SUBSTITUTE(INDEX(Propuestas!$E$2:$E$35,12),", ",",")&amp;",")),"●","")</f>
        <v/>
      </c>
      <c r="O40" s="11" t="str">
        <f aca="false">IF(ISNUMBER(SEARCH(","&amp;$A40&amp;",",","&amp;SUBSTITUTE(INDEX(Propuestas!$E$2:$E$35,13),", ",",")&amp;",")),"●","")</f>
        <v/>
      </c>
      <c r="P40" s="11" t="str">
        <f aca="false">IF(ISNUMBER(SEARCH(","&amp;$A40&amp;",",","&amp;SUBSTITUTE(INDEX(Propuestas!$E$2:$E$35,14),", ",",")&amp;",")),"●","")</f>
        <v/>
      </c>
      <c r="Q40" s="11" t="str">
        <f aca="false">IF(ISNUMBER(SEARCH(","&amp;$A40&amp;",",","&amp;SUBSTITUTE(INDEX(Propuestas!$E$2:$E$35,15),", ",",")&amp;",")),"●","")</f>
        <v/>
      </c>
      <c r="R40" s="11" t="str">
        <f aca="false">IF(ISNUMBER(SEARCH(","&amp;$A40&amp;",",","&amp;SUBSTITUTE(INDEX(Propuestas!$E$2:$E$35,16),", ",",")&amp;",")),"●","")</f>
        <v/>
      </c>
      <c r="S40" s="11" t="str">
        <f aca="false">IF(ISNUMBER(SEARCH(","&amp;$A40&amp;",",","&amp;SUBSTITUTE(INDEX(Propuestas!$E$2:$E$35,17),", ",",")&amp;",")),"●","")</f>
        <v/>
      </c>
      <c r="T40" s="11" t="str">
        <f aca="false">IF(ISNUMBER(SEARCH(","&amp;$A40&amp;",",","&amp;SUBSTITUTE(INDEX(Propuestas!$E$2:$E$35,18),", ",",")&amp;",")),"●","")</f>
        <v/>
      </c>
      <c r="U40" s="11" t="str">
        <f aca="false">IF(ISNUMBER(SEARCH(","&amp;$A40&amp;",",","&amp;SUBSTITUTE(INDEX(Propuestas!$E$2:$E$35,19),", ",",")&amp;",")),"●","")</f>
        <v/>
      </c>
      <c r="V40" s="11" t="str">
        <f aca="false">IF(ISNUMBER(SEARCH(","&amp;$A40&amp;",",","&amp;SUBSTITUTE(INDEX(Propuestas!$E$2:$E$35,20),", ",",")&amp;",")),"●","")</f>
        <v/>
      </c>
      <c r="W40" s="11" t="str">
        <f aca="false">IF(ISNUMBER(SEARCH(","&amp;$A40&amp;",",","&amp;SUBSTITUTE(INDEX(Propuestas!$E$2:$E$35,21),", ",",")&amp;",")),"●","")</f>
        <v/>
      </c>
      <c r="X40" s="11" t="str">
        <f aca="false">IF(ISNUMBER(SEARCH(","&amp;$A40&amp;",",","&amp;SUBSTITUTE(INDEX(Propuestas!$E$2:$E$35,22),", ",",")&amp;",")),"●","")</f>
        <v>●</v>
      </c>
      <c r="Y40" s="11" t="str">
        <f aca="false">IF(ISNUMBER(SEARCH(","&amp;$A40&amp;",",","&amp;SUBSTITUTE(INDEX(Propuestas!$E$2:$E$35,23),", ",",")&amp;",")),"●","")</f>
        <v/>
      </c>
      <c r="Z40" s="11" t="str">
        <f aca="false">IF(ISNUMBER(SEARCH(","&amp;$A40&amp;",",","&amp;SUBSTITUTE(INDEX(Propuestas!$E$2:$E$35,24),", ",",")&amp;",")),"●","")</f>
        <v/>
      </c>
      <c r="AA40" s="11" t="str">
        <f aca="false">IF(ISNUMBER(SEARCH(","&amp;$A40&amp;",",","&amp;SUBSTITUTE(INDEX(Propuestas!$E$2:$E$35,25),", ",",")&amp;",")),"●","")</f>
        <v/>
      </c>
      <c r="AB40" s="11" t="str">
        <f aca="false">IF(ISNUMBER(SEARCH(","&amp;$A40&amp;",",","&amp;SUBSTITUTE(INDEX(Propuestas!$E$2:$E$35,26),", ",",")&amp;",")),"●","")</f>
        <v>●</v>
      </c>
      <c r="AC40" s="11" t="str">
        <f aca="false">IF(ISNUMBER(SEARCH(","&amp;$A40&amp;",",","&amp;SUBSTITUTE(INDEX(Propuestas!$E$2:$E$35,27),", ",",")&amp;",")),"●","")</f>
        <v/>
      </c>
      <c r="AD40" s="11" t="str">
        <f aca="false">IF(ISNUMBER(SEARCH(","&amp;$A40&amp;",",","&amp;SUBSTITUTE(INDEX(Propuestas!$E$2:$E$35,28),", ",",")&amp;",")),"●","")</f>
        <v/>
      </c>
      <c r="AE40" s="11" t="str">
        <f aca="false">IF(ISNUMBER(SEARCH(","&amp;$A40&amp;",",","&amp;SUBSTITUTE(INDEX(Propuestas!$E$2:$E$35,29),", ",",")&amp;",")),"●","")</f>
        <v/>
      </c>
      <c r="AF40" s="11" t="str">
        <f aca="false">IF(ISNUMBER(SEARCH(","&amp;$A40&amp;",",","&amp;SUBSTITUTE(INDEX(Propuestas!$E$2:$E$35,30),", ",",")&amp;",")),"●","")</f>
        <v/>
      </c>
      <c r="AG40" s="11" t="str">
        <f aca="false">IF(ISNUMBER(SEARCH(","&amp;$A40&amp;",",","&amp;SUBSTITUTE(INDEX(Propuestas!$E$2:$E$35,31),", ",",")&amp;",")),"●","")</f>
        <v/>
      </c>
      <c r="AH40" s="11" t="str">
        <f aca="false">IF(ISNUMBER(SEARCH(","&amp;$A40&amp;",",","&amp;SUBSTITUTE(INDEX(Propuestas!$E$2:$E$35,32),", ",",")&amp;",")),"●","")</f>
        <v/>
      </c>
      <c r="AI40" s="11" t="str">
        <f aca="false">IF(ISNUMBER(SEARCH(","&amp;$A40&amp;",",","&amp;SUBSTITUTE(INDEX(Propuestas!$E$2:$E$35,33),", ",",")&amp;",")),"●","")</f>
        <v/>
      </c>
      <c r="AJ40" s="11" t="str">
        <f aca="false">IF(ISNUMBER(SEARCH(","&amp;$A40&amp;",",","&amp;SUBSTITUTE(INDEX(Propuestas!$E$2:$E$35,34),", ",",")&amp;",")),"●","")</f>
        <v/>
      </c>
      <c r="AK40" s="10" t="n">
        <f aca="false">COUNTIF(C40:AJ40,"●")</f>
        <v>2</v>
      </c>
    </row>
    <row r="41" customFormat="false" ht="15" hidden="false" customHeight="false" outlineLevel="0" collapsed="false">
      <c r="A41" s="10" t="s">
        <v>648</v>
      </c>
      <c r="B41" s="10" t="n">
        <f aca="false">INDEX(Sindicatos!F:F,MATCH(A41,Sindicatos!A:A,0))</f>
        <v>2</v>
      </c>
      <c r="C41" s="11" t="str">
        <f aca="false">IF(ISNUMBER(SEARCH(","&amp;$A41&amp;",",","&amp;SUBSTITUTE(INDEX(Propuestas!$E$2:$E$35,1),", ",",")&amp;",")),"●","")</f>
        <v/>
      </c>
      <c r="D41" s="11" t="str">
        <f aca="false">IF(ISNUMBER(SEARCH(","&amp;$A41&amp;",",","&amp;SUBSTITUTE(INDEX(Propuestas!$E$2:$E$35,2),", ",",")&amp;",")),"●","")</f>
        <v/>
      </c>
      <c r="E41" s="11" t="str">
        <f aca="false">IF(ISNUMBER(SEARCH(","&amp;$A41&amp;",",","&amp;SUBSTITUTE(INDEX(Propuestas!$E$2:$E$35,3),", ",",")&amp;",")),"●","")</f>
        <v/>
      </c>
      <c r="F41" s="11" t="str">
        <f aca="false">IF(ISNUMBER(SEARCH(","&amp;$A41&amp;",",","&amp;SUBSTITUTE(INDEX(Propuestas!$E$2:$E$35,4),", ",",")&amp;",")),"●","")</f>
        <v/>
      </c>
      <c r="G41" s="11" t="str">
        <f aca="false">IF(ISNUMBER(SEARCH(","&amp;$A41&amp;",",","&amp;SUBSTITUTE(INDEX(Propuestas!$E$2:$E$35,5),", ",",")&amp;",")),"●","")</f>
        <v/>
      </c>
      <c r="H41" s="11" t="str">
        <f aca="false">IF(ISNUMBER(SEARCH(","&amp;$A41&amp;",",","&amp;SUBSTITUTE(INDEX(Propuestas!$E$2:$E$35,6),", ",",")&amp;",")),"●","")</f>
        <v/>
      </c>
      <c r="I41" s="11" t="str">
        <f aca="false">IF(ISNUMBER(SEARCH(","&amp;$A41&amp;",",","&amp;SUBSTITUTE(INDEX(Propuestas!$E$2:$E$35,7),", ",",")&amp;",")),"●","")</f>
        <v/>
      </c>
      <c r="J41" s="11" t="str">
        <f aca="false">IF(ISNUMBER(SEARCH(","&amp;$A41&amp;",",","&amp;SUBSTITUTE(INDEX(Propuestas!$E$2:$E$35,8),", ",",")&amp;",")),"●","")</f>
        <v/>
      </c>
      <c r="K41" s="11" t="str">
        <f aca="false">IF(ISNUMBER(SEARCH(","&amp;$A41&amp;",",","&amp;SUBSTITUTE(INDEX(Propuestas!$E$2:$E$35,9),", ",",")&amp;",")),"●","")</f>
        <v/>
      </c>
      <c r="L41" s="11" t="str">
        <f aca="false">IF(ISNUMBER(SEARCH(","&amp;$A41&amp;",",","&amp;SUBSTITUTE(INDEX(Propuestas!$E$2:$E$35,10),", ",",")&amp;",")),"●","")</f>
        <v/>
      </c>
      <c r="M41" s="11" t="str">
        <f aca="false">IF(ISNUMBER(SEARCH(","&amp;$A41&amp;",",","&amp;SUBSTITUTE(INDEX(Propuestas!$E$2:$E$35,11),", ",",")&amp;",")),"●","")</f>
        <v/>
      </c>
      <c r="N41" s="11" t="str">
        <f aca="false">IF(ISNUMBER(SEARCH(","&amp;$A41&amp;",",","&amp;SUBSTITUTE(INDEX(Propuestas!$E$2:$E$35,12),", ",",")&amp;",")),"●","")</f>
        <v/>
      </c>
      <c r="O41" s="11" t="str">
        <f aca="false">IF(ISNUMBER(SEARCH(","&amp;$A41&amp;",",","&amp;SUBSTITUTE(INDEX(Propuestas!$E$2:$E$35,13),", ",",")&amp;",")),"●","")</f>
        <v/>
      </c>
      <c r="P41" s="11" t="str">
        <f aca="false">IF(ISNUMBER(SEARCH(","&amp;$A41&amp;",",","&amp;SUBSTITUTE(INDEX(Propuestas!$E$2:$E$35,14),", ",",")&amp;",")),"●","")</f>
        <v/>
      </c>
      <c r="Q41" s="11" t="str">
        <f aca="false">IF(ISNUMBER(SEARCH(","&amp;$A41&amp;",",","&amp;SUBSTITUTE(INDEX(Propuestas!$E$2:$E$35,15),", ",",")&amp;",")),"●","")</f>
        <v/>
      </c>
      <c r="R41" s="11" t="str">
        <f aca="false">IF(ISNUMBER(SEARCH(","&amp;$A41&amp;",",","&amp;SUBSTITUTE(INDEX(Propuestas!$E$2:$E$35,16),", ",",")&amp;",")),"●","")</f>
        <v/>
      </c>
      <c r="S41" s="11" t="str">
        <f aca="false">IF(ISNUMBER(SEARCH(","&amp;$A41&amp;",",","&amp;SUBSTITUTE(INDEX(Propuestas!$E$2:$E$35,17),", ",",")&amp;",")),"●","")</f>
        <v/>
      </c>
      <c r="T41" s="11" t="str">
        <f aca="false">IF(ISNUMBER(SEARCH(","&amp;$A41&amp;",",","&amp;SUBSTITUTE(INDEX(Propuestas!$E$2:$E$35,18),", ",",")&amp;",")),"●","")</f>
        <v/>
      </c>
      <c r="U41" s="11" t="str">
        <f aca="false">IF(ISNUMBER(SEARCH(","&amp;$A41&amp;",",","&amp;SUBSTITUTE(INDEX(Propuestas!$E$2:$E$35,19),", ",",")&amp;",")),"●","")</f>
        <v/>
      </c>
      <c r="V41" s="11" t="str">
        <f aca="false">IF(ISNUMBER(SEARCH(","&amp;$A41&amp;",",","&amp;SUBSTITUTE(INDEX(Propuestas!$E$2:$E$35,20),", ",",")&amp;",")),"●","")</f>
        <v>●</v>
      </c>
      <c r="W41" s="11" t="str">
        <f aca="false">IF(ISNUMBER(SEARCH(","&amp;$A41&amp;",",","&amp;SUBSTITUTE(INDEX(Propuestas!$E$2:$E$35,21),", ",",")&amp;",")),"●","")</f>
        <v/>
      </c>
      <c r="X41" s="11" t="str">
        <f aca="false">IF(ISNUMBER(SEARCH(","&amp;$A41&amp;",",","&amp;SUBSTITUTE(INDEX(Propuestas!$E$2:$E$35,22),", ",",")&amp;",")),"●","")</f>
        <v/>
      </c>
      <c r="Y41" s="11" t="str">
        <f aca="false">IF(ISNUMBER(SEARCH(","&amp;$A41&amp;",",","&amp;SUBSTITUTE(INDEX(Propuestas!$E$2:$E$35,23),", ",",")&amp;",")),"●","")</f>
        <v/>
      </c>
      <c r="Z41" s="11" t="str">
        <f aca="false">IF(ISNUMBER(SEARCH(","&amp;$A41&amp;",",","&amp;SUBSTITUTE(INDEX(Propuestas!$E$2:$E$35,24),", ",",")&amp;",")),"●","")</f>
        <v/>
      </c>
      <c r="AA41" s="11" t="str">
        <f aca="false">IF(ISNUMBER(SEARCH(","&amp;$A41&amp;",",","&amp;SUBSTITUTE(INDEX(Propuestas!$E$2:$E$35,25),", ",",")&amp;",")),"●","")</f>
        <v/>
      </c>
      <c r="AB41" s="11" t="str">
        <f aca="false">IF(ISNUMBER(SEARCH(","&amp;$A41&amp;",",","&amp;SUBSTITUTE(INDEX(Propuestas!$E$2:$E$35,26),", ",",")&amp;",")),"●","")</f>
        <v>●</v>
      </c>
      <c r="AC41" s="11" t="str">
        <f aca="false">IF(ISNUMBER(SEARCH(","&amp;$A41&amp;",",","&amp;SUBSTITUTE(INDEX(Propuestas!$E$2:$E$35,27),", ",",")&amp;",")),"●","")</f>
        <v/>
      </c>
      <c r="AD41" s="11" t="str">
        <f aca="false">IF(ISNUMBER(SEARCH(","&amp;$A41&amp;",",","&amp;SUBSTITUTE(INDEX(Propuestas!$E$2:$E$35,28),", ",",")&amp;",")),"●","")</f>
        <v/>
      </c>
      <c r="AE41" s="11" t="str">
        <f aca="false">IF(ISNUMBER(SEARCH(","&amp;$A41&amp;",",","&amp;SUBSTITUTE(INDEX(Propuestas!$E$2:$E$35,29),", ",",")&amp;",")),"●","")</f>
        <v/>
      </c>
      <c r="AF41" s="11" t="str">
        <f aca="false">IF(ISNUMBER(SEARCH(","&amp;$A41&amp;",",","&amp;SUBSTITUTE(INDEX(Propuestas!$E$2:$E$35,30),", ",",")&amp;",")),"●","")</f>
        <v/>
      </c>
      <c r="AG41" s="11" t="str">
        <f aca="false">IF(ISNUMBER(SEARCH(","&amp;$A41&amp;",",","&amp;SUBSTITUTE(INDEX(Propuestas!$E$2:$E$35,31),", ",",")&amp;",")),"●","")</f>
        <v/>
      </c>
      <c r="AH41" s="11" t="str">
        <f aca="false">IF(ISNUMBER(SEARCH(","&amp;$A41&amp;",",","&amp;SUBSTITUTE(INDEX(Propuestas!$E$2:$E$35,32),", ",",")&amp;",")),"●","")</f>
        <v/>
      </c>
      <c r="AI41" s="11" t="str">
        <f aca="false">IF(ISNUMBER(SEARCH(","&amp;$A41&amp;",",","&amp;SUBSTITUTE(INDEX(Propuestas!$E$2:$E$35,33),", ",",")&amp;",")),"●","")</f>
        <v/>
      </c>
      <c r="AJ41" s="11" t="str">
        <f aca="false">IF(ISNUMBER(SEARCH(","&amp;$A41&amp;",",","&amp;SUBSTITUTE(INDEX(Propuestas!$E$2:$E$35,34),", ",",")&amp;",")),"●","")</f>
        <v/>
      </c>
      <c r="AK41" s="10" t="n">
        <f aca="false">COUNTIF(C41:AJ41,"●")</f>
        <v>2</v>
      </c>
    </row>
    <row r="42" customFormat="false" ht="15" hidden="false" customHeight="false" outlineLevel="0" collapsed="false">
      <c r="A42" s="10" t="s">
        <v>657</v>
      </c>
      <c r="B42" s="10" t="n">
        <f aca="false">INDEX(Sindicatos!F:F,MATCH(A42,Sindicatos!A:A,0))</f>
        <v>2</v>
      </c>
      <c r="C42" s="11" t="str">
        <f aca="false">IF(ISNUMBER(SEARCH(","&amp;$A42&amp;",",","&amp;SUBSTITUTE(INDEX(Propuestas!$E$2:$E$35,1),", ",",")&amp;",")),"●","")</f>
        <v/>
      </c>
      <c r="D42" s="11" t="str">
        <f aca="false">IF(ISNUMBER(SEARCH(","&amp;$A42&amp;",",","&amp;SUBSTITUTE(INDEX(Propuestas!$E$2:$E$35,2),", ",",")&amp;",")),"●","")</f>
        <v/>
      </c>
      <c r="E42" s="11" t="str">
        <f aca="false">IF(ISNUMBER(SEARCH(","&amp;$A42&amp;",",","&amp;SUBSTITUTE(INDEX(Propuestas!$E$2:$E$35,3),", ",",")&amp;",")),"●","")</f>
        <v/>
      </c>
      <c r="F42" s="11" t="str">
        <f aca="false">IF(ISNUMBER(SEARCH(","&amp;$A42&amp;",",","&amp;SUBSTITUTE(INDEX(Propuestas!$E$2:$E$35,4),", ",",")&amp;",")),"●","")</f>
        <v/>
      </c>
      <c r="G42" s="11" t="str">
        <f aca="false">IF(ISNUMBER(SEARCH(","&amp;$A42&amp;",",","&amp;SUBSTITUTE(INDEX(Propuestas!$E$2:$E$35,5),", ",",")&amp;",")),"●","")</f>
        <v/>
      </c>
      <c r="H42" s="11" t="str">
        <f aca="false">IF(ISNUMBER(SEARCH(","&amp;$A42&amp;",",","&amp;SUBSTITUTE(INDEX(Propuestas!$E$2:$E$35,6),", ",",")&amp;",")),"●","")</f>
        <v>●</v>
      </c>
      <c r="I42" s="11" t="str">
        <f aca="false">IF(ISNUMBER(SEARCH(","&amp;$A42&amp;",",","&amp;SUBSTITUTE(INDEX(Propuestas!$E$2:$E$35,7),", ",",")&amp;",")),"●","")</f>
        <v/>
      </c>
      <c r="J42" s="11" t="str">
        <f aca="false">IF(ISNUMBER(SEARCH(","&amp;$A42&amp;",",","&amp;SUBSTITUTE(INDEX(Propuestas!$E$2:$E$35,8),", ",",")&amp;",")),"●","")</f>
        <v/>
      </c>
      <c r="K42" s="11" t="str">
        <f aca="false">IF(ISNUMBER(SEARCH(","&amp;$A42&amp;",",","&amp;SUBSTITUTE(INDEX(Propuestas!$E$2:$E$35,9),", ",",")&amp;",")),"●","")</f>
        <v/>
      </c>
      <c r="L42" s="11" t="str">
        <f aca="false">IF(ISNUMBER(SEARCH(","&amp;$A42&amp;",",","&amp;SUBSTITUTE(INDEX(Propuestas!$E$2:$E$35,10),", ",",")&amp;",")),"●","")</f>
        <v/>
      </c>
      <c r="M42" s="11" t="str">
        <f aca="false">IF(ISNUMBER(SEARCH(","&amp;$A42&amp;",",","&amp;SUBSTITUTE(INDEX(Propuestas!$E$2:$E$35,11),", ",",")&amp;",")),"●","")</f>
        <v/>
      </c>
      <c r="N42" s="11" t="str">
        <f aca="false">IF(ISNUMBER(SEARCH(","&amp;$A42&amp;",",","&amp;SUBSTITUTE(INDEX(Propuestas!$E$2:$E$35,12),", ",",")&amp;",")),"●","")</f>
        <v/>
      </c>
      <c r="O42" s="11" t="str">
        <f aca="false">IF(ISNUMBER(SEARCH(","&amp;$A42&amp;",",","&amp;SUBSTITUTE(INDEX(Propuestas!$E$2:$E$35,13),", ",",")&amp;",")),"●","")</f>
        <v>●</v>
      </c>
      <c r="P42" s="11" t="str">
        <f aca="false">IF(ISNUMBER(SEARCH(","&amp;$A42&amp;",",","&amp;SUBSTITUTE(INDEX(Propuestas!$E$2:$E$35,14),", ",",")&amp;",")),"●","")</f>
        <v/>
      </c>
      <c r="Q42" s="11" t="str">
        <f aca="false">IF(ISNUMBER(SEARCH(","&amp;$A42&amp;",",","&amp;SUBSTITUTE(INDEX(Propuestas!$E$2:$E$35,15),", ",",")&amp;",")),"●","")</f>
        <v/>
      </c>
      <c r="R42" s="11" t="str">
        <f aca="false">IF(ISNUMBER(SEARCH(","&amp;$A42&amp;",",","&amp;SUBSTITUTE(INDEX(Propuestas!$E$2:$E$35,16),", ",",")&amp;",")),"●","")</f>
        <v/>
      </c>
      <c r="S42" s="11" t="str">
        <f aca="false">IF(ISNUMBER(SEARCH(","&amp;$A42&amp;",",","&amp;SUBSTITUTE(INDEX(Propuestas!$E$2:$E$35,17),", ",",")&amp;",")),"●","")</f>
        <v/>
      </c>
      <c r="T42" s="11" t="str">
        <f aca="false">IF(ISNUMBER(SEARCH(","&amp;$A42&amp;",",","&amp;SUBSTITUTE(INDEX(Propuestas!$E$2:$E$35,18),", ",",")&amp;",")),"●","")</f>
        <v/>
      </c>
      <c r="U42" s="11" t="str">
        <f aca="false">IF(ISNUMBER(SEARCH(","&amp;$A42&amp;",",","&amp;SUBSTITUTE(INDEX(Propuestas!$E$2:$E$35,19),", ",",")&amp;",")),"●","")</f>
        <v/>
      </c>
      <c r="V42" s="11" t="str">
        <f aca="false">IF(ISNUMBER(SEARCH(","&amp;$A42&amp;",",","&amp;SUBSTITUTE(INDEX(Propuestas!$E$2:$E$35,20),", ",",")&amp;",")),"●","")</f>
        <v>●</v>
      </c>
      <c r="W42" s="11" t="str">
        <f aca="false">IF(ISNUMBER(SEARCH(","&amp;$A42&amp;",",","&amp;SUBSTITUTE(INDEX(Propuestas!$E$2:$E$35,21),", ",",")&amp;",")),"●","")</f>
        <v/>
      </c>
      <c r="X42" s="11" t="str">
        <f aca="false">IF(ISNUMBER(SEARCH(","&amp;$A42&amp;",",","&amp;SUBSTITUTE(INDEX(Propuestas!$E$2:$E$35,22),", ",",")&amp;",")),"●","")</f>
        <v>●</v>
      </c>
      <c r="Y42" s="11" t="str">
        <f aca="false">IF(ISNUMBER(SEARCH(","&amp;$A42&amp;",",","&amp;SUBSTITUTE(INDEX(Propuestas!$E$2:$E$35,23),", ",",")&amp;",")),"●","")</f>
        <v/>
      </c>
      <c r="Z42" s="11" t="str">
        <f aca="false">IF(ISNUMBER(SEARCH(","&amp;$A42&amp;",",","&amp;SUBSTITUTE(INDEX(Propuestas!$E$2:$E$35,24),", ",",")&amp;",")),"●","")</f>
        <v/>
      </c>
      <c r="AA42" s="11" t="str">
        <f aca="false">IF(ISNUMBER(SEARCH(","&amp;$A42&amp;",",","&amp;SUBSTITUTE(INDEX(Propuestas!$E$2:$E$35,25),", ",",")&amp;",")),"●","")</f>
        <v/>
      </c>
      <c r="AB42" s="11" t="str">
        <f aca="false">IF(ISNUMBER(SEARCH(","&amp;$A42&amp;",",","&amp;SUBSTITUTE(INDEX(Propuestas!$E$2:$E$35,26),", ",",")&amp;",")),"●","")</f>
        <v/>
      </c>
      <c r="AC42" s="11" t="str">
        <f aca="false">IF(ISNUMBER(SEARCH(","&amp;$A42&amp;",",","&amp;SUBSTITUTE(INDEX(Propuestas!$E$2:$E$35,27),", ",",")&amp;",")),"●","")</f>
        <v/>
      </c>
      <c r="AD42" s="11" t="str">
        <f aca="false">IF(ISNUMBER(SEARCH(","&amp;$A42&amp;",",","&amp;SUBSTITUTE(INDEX(Propuestas!$E$2:$E$35,28),", ",",")&amp;",")),"●","")</f>
        <v/>
      </c>
      <c r="AE42" s="11" t="str">
        <f aca="false">IF(ISNUMBER(SEARCH(","&amp;$A42&amp;",",","&amp;SUBSTITUTE(INDEX(Propuestas!$E$2:$E$35,29),", ",",")&amp;",")),"●","")</f>
        <v/>
      </c>
      <c r="AF42" s="11" t="str">
        <f aca="false">IF(ISNUMBER(SEARCH(","&amp;$A42&amp;",",","&amp;SUBSTITUTE(INDEX(Propuestas!$E$2:$E$35,30),", ",",")&amp;",")),"●","")</f>
        <v/>
      </c>
      <c r="AG42" s="11" t="str">
        <f aca="false">IF(ISNUMBER(SEARCH(","&amp;$A42&amp;",",","&amp;SUBSTITUTE(INDEX(Propuestas!$E$2:$E$35,31),", ",",")&amp;",")),"●","")</f>
        <v/>
      </c>
      <c r="AH42" s="11" t="str">
        <f aca="false">IF(ISNUMBER(SEARCH(","&amp;$A42&amp;",",","&amp;SUBSTITUTE(INDEX(Propuestas!$E$2:$E$35,32),", ",",")&amp;",")),"●","")</f>
        <v/>
      </c>
      <c r="AI42" s="11" t="str">
        <f aca="false">IF(ISNUMBER(SEARCH(","&amp;$A42&amp;",",","&amp;SUBSTITUTE(INDEX(Propuestas!$E$2:$E$35,33),", ",",")&amp;",")),"●","")</f>
        <v/>
      </c>
      <c r="AJ42" s="11" t="str">
        <f aca="false">IF(ISNUMBER(SEARCH(","&amp;$A42&amp;",",","&amp;SUBSTITUTE(INDEX(Propuestas!$E$2:$E$35,34),", ",",")&amp;",")),"●","")</f>
        <v>●</v>
      </c>
      <c r="AK42" s="10" t="n">
        <f aca="false">COUNTIF(C42:AJ42,"●")</f>
        <v>5</v>
      </c>
    </row>
    <row r="43" customFormat="false" ht="15" hidden="false" customHeight="false" outlineLevel="0" collapsed="false">
      <c r="A43" s="10" t="s">
        <v>666</v>
      </c>
      <c r="B43" s="10" t="n">
        <f aca="false">INDEX(Sindicatos!F:F,MATCH(A43,Sindicatos!A:A,0))</f>
        <v>2</v>
      </c>
      <c r="C43" s="11" t="str">
        <f aca="false">IF(ISNUMBER(SEARCH(","&amp;$A43&amp;",",","&amp;SUBSTITUTE(INDEX(Propuestas!$E$2:$E$35,1),", ",",")&amp;",")),"●","")</f>
        <v/>
      </c>
      <c r="D43" s="11" t="str">
        <f aca="false">IF(ISNUMBER(SEARCH(","&amp;$A43&amp;",",","&amp;SUBSTITUTE(INDEX(Propuestas!$E$2:$E$35,2),", ",",")&amp;",")),"●","")</f>
        <v/>
      </c>
      <c r="E43" s="11" t="str">
        <f aca="false">IF(ISNUMBER(SEARCH(","&amp;$A43&amp;",",","&amp;SUBSTITUTE(INDEX(Propuestas!$E$2:$E$35,3),", ",",")&amp;",")),"●","")</f>
        <v/>
      </c>
      <c r="F43" s="11" t="str">
        <f aca="false">IF(ISNUMBER(SEARCH(","&amp;$A43&amp;",",","&amp;SUBSTITUTE(INDEX(Propuestas!$E$2:$E$35,4),", ",",")&amp;",")),"●","")</f>
        <v>●</v>
      </c>
      <c r="G43" s="11" t="str">
        <f aca="false">IF(ISNUMBER(SEARCH(","&amp;$A43&amp;",",","&amp;SUBSTITUTE(INDEX(Propuestas!$E$2:$E$35,5),", ",",")&amp;",")),"●","")</f>
        <v/>
      </c>
      <c r="H43" s="11" t="str">
        <f aca="false">IF(ISNUMBER(SEARCH(","&amp;$A43&amp;",",","&amp;SUBSTITUTE(INDEX(Propuestas!$E$2:$E$35,6),", ",",")&amp;",")),"●","")</f>
        <v>●</v>
      </c>
      <c r="I43" s="11" t="str">
        <f aca="false">IF(ISNUMBER(SEARCH(","&amp;$A43&amp;",",","&amp;SUBSTITUTE(INDEX(Propuestas!$E$2:$E$35,7),", ",",")&amp;",")),"●","")</f>
        <v/>
      </c>
      <c r="J43" s="11" t="str">
        <f aca="false">IF(ISNUMBER(SEARCH(","&amp;$A43&amp;",",","&amp;SUBSTITUTE(INDEX(Propuestas!$E$2:$E$35,8),", ",",")&amp;",")),"●","")</f>
        <v/>
      </c>
      <c r="K43" s="11" t="str">
        <f aca="false">IF(ISNUMBER(SEARCH(","&amp;$A43&amp;",",","&amp;SUBSTITUTE(INDEX(Propuestas!$E$2:$E$35,9),", ",",")&amp;",")),"●","")</f>
        <v/>
      </c>
      <c r="L43" s="11" t="str">
        <f aca="false">IF(ISNUMBER(SEARCH(","&amp;$A43&amp;",",","&amp;SUBSTITUTE(INDEX(Propuestas!$E$2:$E$35,10),", ",",")&amp;",")),"●","")</f>
        <v/>
      </c>
      <c r="M43" s="11" t="str">
        <f aca="false">IF(ISNUMBER(SEARCH(","&amp;$A43&amp;",",","&amp;SUBSTITUTE(INDEX(Propuestas!$E$2:$E$35,11),", ",",")&amp;",")),"●","")</f>
        <v/>
      </c>
      <c r="N43" s="11" t="str">
        <f aca="false">IF(ISNUMBER(SEARCH(","&amp;$A43&amp;",",","&amp;SUBSTITUTE(INDEX(Propuestas!$E$2:$E$35,12),", ",",")&amp;",")),"●","")</f>
        <v/>
      </c>
      <c r="O43" s="11" t="str">
        <f aca="false">IF(ISNUMBER(SEARCH(","&amp;$A43&amp;",",","&amp;SUBSTITUTE(INDEX(Propuestas!$E$2:$E$35,13),", ",",")&amp;",")),"●","")</f>
        <v/>
      </c>
      <c r="P43" s="11" t="str">
        <f aca="false">IF(ISNUMBER(SEARCH(","&amp;$A43&amp;",",","&amp;SUBSTITUTE(INDEX(Propuestas!$E$2:$E$35,14),", ",",")&amp;",")),"●","")</f>
        <v/>
      </c>
      <c r="Q43" s="11" t="str">
        <f aca="false">IF(ISNUMBER(SEARCH(","&amp;$A43&amp;",",","&amp;SUBSTITUTE(INDEX(Propuestas!$E$2:$E$35,15),", ",",")&amp;",")),"●","")</f>
        <v/>
      </c>
      <c r="R43" s="11" t="str">
        <f aca="false">IF(ISNUMBER(SEARCH(","&amp;$A43&amp;",",","&amp;SUBSTITUTE(INDEX(Propuestas!$E$2:$E$35,16),", ",",")&amp;",")),"●","")</f>
        <v/>
      </c>
      <c r="S43" s="11" t="str">
        <f aca="false">IF(ISNUMBER(SEARCH(","&amp;$A43&amp;",",","&amp;SUBSTITUTE(INDEX(Propuestas!$E$2:$E$35,17),", ",",")&amp;",")),"●","")</f>
        <v/>
      </c>
      <c r="T43" s="11" t="str">
        <f aca="false">IF(ISNUMBER(SEARCH(","&amp;$A43&amp;",",","&amp;SUBSTITUTE(INDEX(Propuestas!$E$2:$E$35,18),", ",",")&amp;",")),"●","")</f>
        <v/>
      </c>
      <c r="U43" s="11" t="str">
        <f aca="false">IF(ISNUMBER(SEARCH(","&amp;$A43&amp;",",","&amp;SUBSTITUTE(INDEX(Propuestas!$E$2:$E$35,19),", ",",")&amp;",")),"●","")</f>
        <v/>
      </c>
      <c r="V43" s="11" t="str">
        <f aca="false">IF(ISNUMBER(SEARCH(","&amp;$A43&amp;",",","&amp;SUBSTITUTE(INDEX(Propuestas!$E$2:$E$35,20),", ",",")&amp;",")),"●","")</f>
        <v>●</v>
      </c>
      <c r="W43" s="11" t="str">
        <f aca="false">IF(ISNUMBER(SEARCH(","&amp;$A43&amp;",",","&amp;SUBSTITUTE(INDEX(Propuestas!$E$2:$E$35,21),", ",",")&amp;",")),"●","")</f>
        <v/>
      </c>
      <c r="X43" s="11" t="str">
        <f aca="false">IF(ISNUMBER(SEARCH(","&amp;$A43&amp;",",","&amp;SUBSTITUTE(INDEX(Propuestas!$E$2:$E$35,22),", ",",")&amp;",")),"●","")</f>
        <v/>
      </c>
      <c r="Y43" s="11" t="str">
        <f aca="false">IF(ISNUMBER(SEARCH(","&amp;$A43&amp;",",","&amp;SUBSTITUTE(INDEX(Propuestas!$E$2:$E$35,23),", ",",")&amp;",")),"●","")</f>
        <v/>
      </c>
      <c r="Z43" s="11" t="str">
        <f aca="false">IF(ISNUMBER(SEARCH(","&amp;$A43&amp;",",","&amp;SUBSTITUTE(INDEX(Propuestas!$E$2:$E$35,24),", ",",")&amp;",")),"●","")</f>
        <v/>
      </c>
      <c r="AA43" s="11" t="str">
        <f aca="false">IF(ISNUMBER(SEARCH(","&amp;$A43&amp;",",","&amp;SUBSTITUTE(INDEX(Propuestas!$E$2:$E$35,25),", ",",")&amp;",")),"●","")</f>
        <v/>
      </c>
      <c r="AB43" s="11" t="str">
        <f aca="false">IF(ISNUMBER(SEARCH(","&amp;$A43&amp;",",","&amp;SUBSTITUTE(INDEX(Propuestas!$E$2:$E$35,26),", ",",")&amp;",")),"●","")</f>
        <v/>
      </c>
      <c r="AC43" s="11" t="str">
        <f aca="false">IF(ISNUMBER(SEARCH(","&amp;$A43&amp;",",","&amp;SUBSTITUTE(INDEX(Propuestas!$E$2:$E$35,27),", ",",")&amp;",")),"●","")</f>
        <v/>
      </c>
      <c r="AD43" s="11" t="str">
        <f aca="false">IF(ISNUMBER(SEARCH(","&amp;$A43&amp;",",","&amp;SUBSTITUTE(INDEX(Propuestas!$E$2:$E$35,28),", ",",")&amp;",")),"●","")</f>
        <v>●</v>
      </c>
      <c r="AE43" s="11" t="str">
        <f aca="false">IF(ISNUMBER(SEARCH(","&amp;$A43&amp;",",","&amp;SUBSTITUTE(INDEX(Propuestas!$E$2:$E$35,29),", ",",")&amp;",")),"●","")</f>
        <v/>
      </c>
      <c r="AF43" s="11" t="str">
        <f aca="false">IF(ISNUMBER(SEARCH(","&amp;$A43&amp;",",","&amp;SUBSTITUTE(INDEX(Propuestas!$E$2:$E$35,30),", ",",")&amp;",")),"●","")</f>
        <v/>
      </c>
      <c r="AG43" s="11" t="str">
        <f aca="false">IF(ISNUMBER(SEARCH(","&amp;$A43&amp;",",","&amp;SUBSTITUTE(INDEX(Propuestas!$E$2:$E$35,31),", ",",")&amp;",")),"●","")</f>
        <v/>
      </c>
      <c r="AH43" s="11" t="str">
        <f aca="false">IF(ISNUMBER(SEARCH(","&amp;$A43&amp;",",","&amp;SUBSTITUTE(INDEX(Propuestas!$E$2:$E$35,32),", ",",")&amp;",")),"●","")</f>
        <v/>
      </c>
      <c r="AI43" s="11" t="str">
        <f aca="false">IF(ISNUMBER(SEARCH(","&amp;$A43&amp;",",","&amp;SUBSTITUTE(INDEX(Propuestas!$E$2:$E$35,33),", ",",")&amp;",")),"●","")</f>
        <v/>
      </c>
      <c r="AJ43" s="11" t="str">
        <f aca="false">IF(ISNUMBER(SEARCH(","&amp;$A43&amp;",",","&amp;SUBSTITUTE(INDEX(Propuestas!$E$2:$E$35,34),", ",",")&amp;",")),"●","")</f>
        <v>●</v>
      </c>
      <c r="AK43" s="10" t="n">
        <f aca="false">COUNTIF(C43:AJ43,"●")</f>
        <v>5</v>
      </c>
    </row>
    <row r="44" customFormat="false" ht="15" hidden="false" customHeight="false" outlineLevel="0" collapsed="false">
      <c r="A44" s="10" t="s">
        <v>675</v>
      </c>
      <c r="B44" s="10" t="n">
        <f aca="false">INDEX(Sindicatos!F:F,MATCH(A44,Sindicatos!A:A,0))</f>
        <v>2</v>
      </c>
      <c r="C44" s="11" t="str">
        <f aca="false">IF(ISNUMBER(SEARCH(","&amp;$A44&amp;",",","&amp;SUBSTITUTE(INDEX(Propuestas!$E$2:$E$35,1),", ",",")&amp;",")),"●","")</f>
        <v>●</v>
      </c>
      <c r="D44" s="11" t="str">
        <f aca="false">IF(ISNUMBER(SEARCH(","&amp;$A44&amp;",",","&amp;SUBSTITUTE(INDEX(Propuestas!$E$2:$E$35,2),", ",",")&amp;",")),"●","")</f>
        <v/>
      </c>
      <c r="E44" s="11" t="str">
        <f aca="false">IF(ISNUMBER(SEARCH(","&amp;$A44&amp;",",","&amp;SUBSTITUTE(INDEX(Propuestas!$E$2:$E$35,3),", ",",")&amp;",")),"●","")</f>
        <v/>
      </c>
      <c r="F44" s="11" t="str">
        <f aca="false">IF(ISNUMBER(SEARCH(","&amp;$A44&amp;",",","&amp;SUBSTITUTE(INDEX(Propuestas!$E$2:$E$35,4),", ",",")&amp;",")),"●","")</f>
        <v>●</v>
      </c>
      <c r="G44" s="11" t="str">
        <f aca="false">IF(ISNUMBER(SEARCH(","&amp;$A44&amp;",",","&amp;SUBSTITUTE(INDEX(Propuestas!$E$2:$E$35,5),", ",",")&amp;",")),"●","")</f>
        <v>●</v>
      </c>
      <c r="H44" s="11" t="str">
        <f aca="false">IF(ISNUMBER(SEARCH(","&amp;$A44&amp;",",","&amp;SUBSTITUTE(INDEX(Propuestas!$E$2:$E$35,6),", ",",")&amp;",")),"●","")</f>
        <v/>
      </c>
      <c r="I44" s="11" t="str">
        <f aca="false">IF(ISNUMBER(SEARCH(","&amp;$A44&amp;",",","&amp;SUBSTITUTE(INDEX(Propuestas!$E$2:$E$35,7),", ",",")&amp;",")),"●","")</f>
        <v/>
      </c>
      <c r="J44" s="11" t="str">
        <f aca="false">IF(ISNUMBER(SEARCH(","&amp;$A44&amp;",",","&amp;SUBSTITUTE(INDEX(Propuestas!$E$2:$E$35,8),", ",",")&amp;",")),"●","")</f>
        <v/>
      </c>
      <c r="K44" s="11" t="str">
        <f aca="false">IF(ISNUMBER(SEARCH(","&amp;$A44&amp;",",","&amp;SUBSTITUTE(INDEX(Propuestas!$E$2:$E$35,9),", ",",")&amp;",")),"●","")</f>
        <v/>
      </c>
      <c r="L44" s="11" t="str">
        <f aca="false">IF(ISNUMBER(SEARCH(","&amp;$A44&amp;",",","&amp;SUBSTITUTE(INDEX(Propuestas!$E$2:$E$35,10),", ",",")&amp;",")),"●","")</f>
        <v/>
      </c>
      <c r="M44" s="11" t="str">
        <f aca="false">IF(ISNUMBER(SEARCH(","&amp;$A44&amp;",",","&amp;SUBSTITUTE(INDEX(Propuestas!$E$2:$E$35,11),", ",",")&amp;",")),"●","")</f>
        <v/>
      </c>
      <c r="N44" s="11" t="str">
        <f aca="false">IF(ISNUMBER(SEARCH(","&amp;$A44&amp;",",","&amp;SUBSTITUTE(INDEX(Propuestas!$E$2:$E$35,12),", ",",")&amp;",")),"●","")</f>
        <v>●</v>
      </c>
      <c r="O44" s="11" t="str">
        <f aca="false">IF(ISNUMBER(SEARCH(","&amp;$A44&amp;",",","&amp;SUBSTITUTE(INDEX(Propuestas!$E$2:$E$35,13),", ",",")&amp;",")),"●","")</f>
        <v/>
      </c>
      <c r="P44" s="11" t="str">
        <f aca="false">IF(ISNUMBER(SEARCH(","&amp;$A44&amp;",",","&amp;SUBSTITUTE(INDEX(Propuestas!$E$2:$E$35,14),", ",",")&amp;",")),"●","")</f>
        <v>●</v>
      </c>
      <c r="Q44" s="11" t="str">
        <f aca="false">IF(ISNUMBER(SEARCH(","&amp;$A44&amp;",",","&amp;SUBSTITUTE(INDEX(Propuestas!$E$2:$E$35,15),", ",",")&amp;",")),"●","")</f>
        <v>●</v>
      </c>
      <c r="R44" s="11" t="str">
        <f aca="false">IF(ISNUMBER(SEARCH(","&amp;$A44&amp;",",","&amp;SUBSTITUTE(INDEX(Propuestas!$E$2:$E$35,16),", ",",")&amp;",")),"●","")</f>
        <v/>
      </c>
      <c r="S44" s="11" t="str">
        <f aca="false">IF(ISNUMBER(SEARCH(","&amp;$A44&amp;",",","&amp;SUBSTITUTE(INDEX(Propuestas!$E$2:$E$35,17),", ",",")&amp;",")),"●","")</f>
        <v/>
      </c>
      <c r="T44" s="11" t="str">
        <f aca="false">IF(ISNUMBER(SEARCH(","&amp;$A44&amp;",",","&amp;SUBSTITUTE(INDEX(Propuestas!$E$2:$E$35,18),", ",",")&amp;",")),"●","")</f>
        <v/>
      </c>
      <c r="U44" s="11" t="str">
        <f aca="false">IF(ISNUMBER(SEARCH(","&amp;$A44&amp;",",","&amp;SUBSTITUTE(INDEX(Propuestas!$E$2:$E$35,19),", ",",")&amp;",")),"●","")</f>
        <v>●</v>
      </c>
      <c r="V44" s="11" t="str">
        <f aca="false">IF(ISNUMBER(SEARCH(","&amp;$A44&amp;",",","&amp;SUBSTITUTE(INDEX(Propuestas!$E$2:$E$35,20),", ",",")&amp;",")),"●","")</f>
        <v>●</v>
      </c>
      <c r="W44" s="11" t="str">
        <f aca="false">IF(ISNUMBER(SEARCH(","&amp;$A44&amp;",",","&amp;SUBSTITUTE(INDEX(Propuestas!$E$2:$E$35,21),", ",",")&amp;",")),"●","")</f>
        <v/>
      </c>
      <c r="X44" s="11" t="str">
        <f aca="false">IF(ISNUMBER(SEARCH(","&amp;$A44&amp;",",","&amp;SUBSTITUTE(INDEX(Propuestas!$E$2:$E$35,22),", ",",")&amp;",")),"●","")</f>
        <v/>
      </c>
      <c r="Y44" s="11" t="str">
        <f aca="false">IF(ISNUMBER(SEARCH(","&amp;$A44&amp;",",","&amp;SUBSTITUTE(INDEX(Propuestas!$E$2:$E$35,23),", ",",")&amp;",")),"●","")</f>
        <v/>
      </c>
      <c r="Z44" s="11" t="str">
        <f aca="false">IF(ISNUMBER(SEARCH(","&amp;$A44&amp;",",","&amp;SUBSTITUTE(INDEX(Propuestas!$E$2:$E$35,24),", ",",")&amp;",")),"●","")</f>
        <v/>
      </c>
      <c r="AA44" s="11" t="str">
        <f aca="false">IF(ISNUMBER(SEARCH(","&amp;$A44&amp;",",","&amp;SUBSTITUTE(INDEX(Propuestas!$E$2:$E$35,25),", ",",")&amp;",")),"●","")</f>
        <v/>
      </c>
      <c r="AB44" s="11" t="str">
        <f aca="false">IF(ISNUMBER(SEARCH(","&amp;$A44&amp;",",","&amp;SUBSTITUTE(INDEX(Propuestas!$E$2:$E$35,26),", ",",")&amp;",")),"●","")</f>
        <v/>
      </c>
      <c r="AC44" s="11" t="str">
        <f aca="false">IF(ISNUMBER(SEARCH(","&amp;$A44&amp;",",","&amp;SUBSTITUTE(INDEX(Propuestas!$E$2:$E$35,27),", ",",")&amp;",")),"●","")</f>
        <v/>
      </c>
      <c r="AD44" s="11" t="str">
        <f aca="false">IF(ISNUMBER(SEARCH(","&amp;$A44&amp;",",","&amp;SUBSTITUTE(INDEX(Propuestas!$E$2:$E$35,28),", ",",")&amp;",")),"●","")</f>
        <v>●</v>
      </c>
      <c r="AE44" s="11" t="str">
        <f aca="false">IF(ISNUMBER(SEARCH(","&amp;$A44&amp;",",","&amp;SUBSTITUTE(INDEX(Propuestas!$E$2:$E$35,29),", ",",")&amp;",")),"●","")</f>
        <v/>
      </c>
      <c r="AF44" s="11" t="str">
        <f aca="false">IF(ISNUMBER(SEARCH(","&amp;$A44&amp;",",","&amp;SUBSTITUTE(INDEX(Propuestas!$E$2:$E$35,30),", ",",")&amp;",")),"●","")</f>
        <v/>
      </c>
      <c r="AG44" s="11" t="str">
        <f aca="false">IF(ISNUMBER(SEARCH(","&amp;$A44&amp;",",","&amp;SUBSTITUTE(INDEX(Propuestas!$E$2:$E$35,31),", ",",")&amp;",")),"●","")</f>
        <v/>
      </c>
      <c r="AH44" s="11" t="str">
        <f aca="false">IF(ISNUMBER(SEARCH(","&amp;$A44&amp;",",","&amp;SUBSTITUTE(INDEX(Propuestas!$E$2:$E$35,32),", ",",")&amp;",")),"●","")</f>
        <v/>
      </c>
      <c r="AI44" s="11" t="str">
        <f aca="false">IF(ISNUMBER(SEARCH(","&amp;$A44&amp;",",","&amp;SUBSTITUTE(INDEX(Propuestas!$E$2:$E$35,33),", ",",")&amp;",")),"●","")</f>
        <v/>
      </c>
      <c r="AJ44" s="11" t="str">
        <f aca="false">IF(ISNUMBER(SEARCH(","&amp;$A44&amp;",",","&amp;SUBSTITUTE(INDEX(Propuestas!$E$2:$E$35,34),", ",",")&amp;",")),"●","")</f>
        <v>●</v>
      </c>
      <c r="AK44" s="10" t="n">
        <f aca="false">COUNTIF(C44:AJ44,"●")</f>
        <v>10</v>
      </c>
    </row>
    <row r="45" customFormat="false" ht="15" hidden="false" customHeight="false" outlineLevel="0" collapsed="false">
      <c r="A45" s="10" t="s">
        <v>684</v>
      </c>
      <c r="B45" s="10" t="n">
        <f aca="false">INDEX(Sindicatos!F:F,MATCH(A45,Sindicatos!A:A,0))</f>
        <v>2</v>
      </c>
      <c r="C45" s="11" t="str">
        <f aca="false">IF(ISNUMBER(SEARCH(","&amp;$A45&amp;",",","&amp;SUBSTITUTE(INDEX(Propuestas!$E$2:$E$35,1),", ",",")&amp;",")),"●","")</f>
        <v/>
      </c>
      <c r="D45" s="11" t="str">
        <f aca="false">IF(ISNUMBER(SEARCH(","&amp;$A45&amp;",",","&amp;SUBSTITUTE(INDEX(Propuestas!$E$2:$E$35,2),", ",",")&amp;",")),"●","")</f>
        <v/>
      </c>
      <c r="E45" s="11" t="str">
        <f aca="false">IF(ISNUMBER(SEARCH(","&amp;$A45&amp;",",","&amp;SUBSTITUTE(INDEX(Propuestas!$E$2:$E$35,3),", ",",")&amp;",")),"●","")</f>
        <v/>
      </c>
      <c r="F45" s="11" t="str">
        <f aca="false">IF(ISNUMBER(SEARCH(","&amp;$A45&amp;",",","&amp;SUBSTITUTE(INDEX(Propuestas!$E$2:$E$35,4),", ",",")&amp;",")),"●","")</f>
        <v>●</v>
      </c>
      <c r="G45" s="11" t="str">
        <f aca="false">IF(ISNUMBER(SEARCH(","&amp;$A45&amp;",",","&amp;SUBSTITUTE(INDEX(Propuestas!$E$2:$E$35,5),", ",",")&amp;",")),"●","")</f>
        <v>●</v>
      </c>
      <c r="H45" s="11" t="str">
        <f aca="false">IF(ISNUMBER(SEARCH(","&amp;$A45&amp;",",","&amp;SUBSTITUTE(INDEX(Propuestas!$E$2:$E$35,6),", ",",")&amp;",")),"●","")</f>
        <v/>
      </c>
      <c r="I45" s="11" t="str">
        <f aca="false">IF(ISNUMBER(SEARCH(","&amp;$A45&amp;",",","&amp;SUBSTITUTE(INDEX(Propuestas!$E$2:$E$35,7),", ",",")&amp;",")),"●","")</f>
        <v/>
      </c>
      <c r="J45" s="11" t="str">
        <f aca="false">IF(ISNUMBER(SEARCH(","&amp;$A45&amp;",",","&amp;SUBSTITUTE(INDEX(Propuestas!$E$2:$E$35,8),", ",",")&amp;",")),"●","")</f>
        <v/>
      </c>
      <c r="K45" s="11" t="str">
        <f aca="false">IF(ISNUMBER(SEARCH(","&amp;$A45&amp;",",","&amp;SUBSTITUTE(INDEX(Propuestas!$E$2:$E$35,9),", ",",")&amp;",")),"●","")</f>
        <v/>
      </c>
      <c r="L45" s="11" t="str">
        <f aca="false">IF(ISNUMBER(SEARCH(","&amp;$A45&amp;",",","&amp;SUBSTITUTE(INDEX(Propuestas!$E$2:$E$35,10),", ",",")&amp;",")),"●","")</f>
        <v/>
      </c>
      <c r="M45" s="11" t="str">
        <f aca="false">IF(ISNUMBER(SEARCH(","&amp;$A45&amp;",",","&amp;SUBSTITUTE(INDEX(Propuestas!$E$2:$E$35,11),", ",",")&amp;",")),"●","")</f>
        <v/>
      </c>
      <c r="N45" s="11" t="str">
        <f aca="false">IF(ISNUMBER(SEARCH(","&amp;$A45&amp;",",","&amp;SUBSTITUTE(INDEX(Propuestas!$E$2:$E$35,12),", ",",")&amp;",")),"●","")</f>
        <v/>
      </c>
      <c r="O45" s="11" t="str">
        <f aca="false">IF(ISNUMBER(SEARCH(","&amp;$A45&amp;",",","&amp;SUBSTITUTE(INDEX(Propuestas!$E$2:$E$35,13),", ",",")&amp;",")),"●","")</f>
        <v/>
      </c>
      <c r="P45" s="11" t="str">
        <f aca="false">IF(ISNUMBER(SEARCH(","&amp;$A45&amp;",",","&amp;SUBSTITUTE(INDEX(Propuestas!$E$2:$E$35,14),", ",",")&amp;",")),"●","")</f>
        <v/>
      </c>
      <c r="Q45" s="11" t="str">
        <f aca="false">IF(ISNUMBER(SEARCH(","&amp;$A45&amp;",",","&amp;SUBSTITUTE(INDEX(Propuestas!$E$2:$E$35,15),", ",",")&amp;",")),"●","")</f>
        <v>●</v>
      </c>
      <c r="R45" s="11" t="str">
        <f aca="false">IF(ISNUMBER(SEARCH(","&amp;$A45&amp;",",","&amp;SUBSTITUTE(INDEX(Propuestas!$E$2:$E$35,16),", ",",")&amp;",")),"●","")</f>
        <v/>
      </c>
      <c r="S45" s="11" t="str">
        <f aca="false">IF(ISNUMBER(SEARCH(","&amp;$A45&amp;",",","&amp;SUBSTITUTE(INDEX(Propuestas!$E$2:$E$35,17),", ",",")&amp;",")),"●","")</f>
        <v/>
      </c>
      <c r="T45" s="11" t="str">
        <f aca="false">IF(ISNUMBER(SEARCH(","&amp;$A45&amp;",",","&amp;SUBSTITUTE(INDEX(Propuestas!$E$2:$E$35,18),", ",",")&amp;",")),"●","")</f>
        <v/>
      </c>
      <c r="U45" s="11" t="str">
        <f aca="false">IF(ISNUMBER(SEARCH(","&amp;$A45&amp;",",","&amp;SUBSTITUTE(INDEX(Propuestas!$E$2:$E$35,19),", ",",")&amp;",")),"●","")</f>
        <v/>
      </c>
      <c r="V45" s="11" t="str">
        <f aca="false">IF(ISNUMBER(SEARCH(","&amp;$A45&amp;",",","&amp;SUBSTITUTE(INDEX(Propuestas!$E$2:$E$35,20),", ",",")&amp;",")),"●","")</f>
        <v>●</v>
      </c>
      <c r="W45" s="11" t="str">
        <f aca="false">IF(ISNUMBER(SEARCH(","&amp;$A45&amp;",",","&amp;SUBSTITUTE(INDEX(Propuestas!$E$2:$E$35,21),", ",",")&amp;",")),"●","")</f>
        <v/>
      </c>
      <c r="X45" s="11" t="str">
        <f aca="false">IF(ISNUMBER(SEARCH(","&amp;$A45&amp;",",","&amp;SUBSTITUTE(INDEX(Propuestas!$E$2:$E$35,22),", ",",")&amp;",")),"●","")</f>
        <v/>
      </c>
      <c r="Y45" s="11" t="str">
        <f aca="false">IF(ISNUMBER(SEARCH(","&amp;$A45&amp;",",","&amp;SUBSTITUTE(INDEX(Propuestas!$E$2:$E$35,23),", ",",")&amp;",")),"●","")</f>
        <v/>
      </c>
      <c r="Z45" s="11" t="str">
        <f aca="false">IF(ISNUMBER(SEARCH(","&amp;$A45&amp;",",","&amp;SUBSTITUTE(INDEX(Propuestas!$E$2:$E$35,24),", ",",")&amp;",")),"●","")</f>
        <v/>
      </c>
      <c r="AA45" s="11" t="str">
        <f aca="false">IF(ISNUMBER(SEARCH(","&amp;$A45&amp;",",","&amp;SUBSTITUTE(INDEX(Propuestas!$E$2:$E$35,25),", ",",")&amp;",")),"●","")</f>
        <v/>
      </c>
      <c r="AB45" s="11" t="str">
        <f aca="false">IF(ISNUMBER(SEARCH(","&amp;$A45&amp;",",","&amp;SUBSTITUTE(INDEX(Propuestas!$E$2:$E$35,26),", ",",")&amp;",")),"●","")</f>
        <v/>
      </c>
      <c r="AC45" s="11" t="str">
        <f aca="false">IF(ISNUMBER(SEARCH(","&amp;$A45&amp;",",","&amp;SUBSTITUTE(INDEX(Propuestas!$E$2:$E$35,27),", ",",")&amp;",")),"●","")</f>
        <v/>
      </c>
      <c r="AD45" s="11" t="str">
        <f aca="false">IF(ISNUMBER(SEARCH(","&amp;$A45&amp;",",","&amp;SUBSTITUTE(INDEX(Propuestas!$E$2:$E$35,28),", ",",")&amp;",")),"●","")</f>
        <v/>
      </c>
      <c r="AE45" s="11" t="str">
        <f aca="false">IF(ISNUMBER(SEARCH(","&amp;$A45&amp;",",","&amp;SUBSTITUTE(INDEX(Propuestas!$E$2:$E$35,29),", ",",")&amp;",")),"●","")</f>
        <v>●</v>
      </c>
      <c r="AF45" s="11" t="str">
        <f aca="false">IF(ISNUMBER(SEARCH(","&amp;$A45&amp;",",","&amp;SUBSTITUTE(INDEX(Propuestas!$E$2:$E$35,30),", ",",")&amp;",")),"●","")</f>
        <v/>
      </c>
      <c r="AG45" s="11" t="str">
        <f aca="false">IF(ISNUMBER(SEARCH(","&amp;$A45&amp;",",","&amp;SUBSTITUTE(INDEX(Propuestas!$E$2:$E$35,31),", ",",")&amp;",")),"●","")</f>
        <v/>
      </c>
      <c r="AH45" s="11" t="str">
        <f aca="false">IF(ISNUMBER(SEARCH(","&amp;$A45&amp;",",","&amp;SUBSTITUTE(INDEX(Propuestas!$E$2:$E$35,32),", ",",")&amp;",")),"●","")</f>
        <v/>
      </c>
      <c r="AI45" s="11" t="str">
        <f aca="false">IF(ISNUMBER(SEARCH(","&amp;$A45&amp;",",","&amp;SUBSTITUTE(INDEX(Propuestas!$E$2:$E$35,33),", ",",")&amp;",")),"●","")</f>
        <v>●</v>
      </c>
      <c r="AJ45" s="11" t="str">
        <f aca="false">IF(ISNUMBER(SEARCH(","&amp;$A45&amp;",",","&amp;SUBSTITUTE(INDEX(Propuestas!$E$2:$E$35,34),", ",",")&amp;",")),"●","")</f>
        <v/>
      </c>
      <c r="AK45" s="10" t="n">
        <f aca="false">COUNTIF(C45:AJ45,"●")</f>
        <v>6</v>
      </c>
    </row>
    <row r="46" customFormat="false" ht="15" hidden="false" customHeight="false" outlineLevel="0" collapsed="false">
      <c r="A46" s="10" t="s">
        <v>692</v>
      </c>
      <c r="B46" s="10" t="n">
        <f aca="false">INDEX(Sindicatos!F:F,MATCH(A46,Sindicatos!A:A,0))</f>
        <v>2</v>
      </c>
      <c r="C46" s="11" t="str">
        <f aca="false">IF(ISNUMBER(SEARCH(","&amp;$A46&amp;",",","&amp;SUBSTITUTE(INDEX(Propuestas!$E$2:$E$35,1),", ",",")&amp;",")),"●","")</f>
        <v>●</v>
      </c>
      <c r="D46" s="11" t="str">
        <f aca="false">IF(ISNUMBER(SEARCH(","&amp;$A46&amp;",",","&amp;SUBSTITUTE(INDEX(Propuestas!$E$2:$E$35,2),", ",",")&amp;",")),"●","")</f>
        <v/>
      </c>
      <c r="E46" s="11" t="str">
        <f aca="false">IF(ISNUMBER(SEARCH(","&amp;$A46&amp;",",","&amp;SUBSTITUTE(INDEX(Propuestas!$E$2:$E$35,3),", ",",")&amp;",")),"●","")</f>
        <v/>
      </c>
      <c r="F46" s="11" t="str">
        <f aca="false">IF(ISNUMBER(SEARCH(","&amp;$A46&amp;",",","&amp;SUBSTITUTE(INDEX(Propuestas!$E$2:$E$35,4),", ",",")&amp;",")),"●","")</f>
        <v>●</v>
      </c>
      <c r="G46" s="11" t="str">
        <f aca="false">IF(ISNUMBER(SEARCH(","&amp;$A46&amp;",",","&amp;SUBSTITUTE(INDEX(Propuestas!$E$2:$E$35,5),", ",",")&amp;",")),"●","")</f>
        <v/>
      </c>
      <c r="H46" s="11" t="str">
        <f aca="false">IF(ISNUMBER(SEARCH(","&amp;$A46&amp;",",","&amp;SUBSTITUTE(INDEX(Propuestas!$E$2:$E$35,6),", ",",")&amp;",")),"●","")</f>
        <v/>
      </c>
      <c r="I46" s="11" t="str">
        <f aca="false">IF(ISNUMBER(SEARCH(","&amp;$A46&amp;",",","&amp;SUBSTITUTE(INDEX(Propuestas!$E$2:$E$35,7),", ",",")&amp;",")),"●","")</f>
        <v/>
      </c>
      <c r="J46" s="11" t="str">
        <f aca="false">IF(ISNUMBER(SEARCH(","&amp;$A46&amp;",",","&amp;SUBSTITUTE(INDEX(Propuestas!$E$2:$E$35,8),", ",",")&amp;",")),"●","")</f>
        <v/>
      </c>
      <c r="K46" s="11" t="str">
        <f aca="false">IF(ISNUMBER(SEARCH(","&amp;$A46&amp;",",","&amp;SUBSTITUTE(INDEX(Propuestas!$E$2:$E$35,9),", ",",")&amp;",")),"●","")</f>
        <v/>
      </c>
      <c r="L46" s="11" t="str">
        <f aca="false">IF(ISNUMBER(SEARCH(","&amp;$A46&amp;",",","&amp;SUBSTITUTE(INDEX(Propuestas!$E$2:$E$35,10),", ",",")&amp;",")),"●","")</f>
        <v/>
      </c>
      <c r="M46" s="11" t="str">
        <f aca="false">IF(ISNUMBER(SEARCH(","&amp;$A46&amp;",",","&amp;SUBSTITUTE(INDEX(Propuestas!$E$2:$E$35,11),", ",",")&amp;",")),"●","")</f>
        <v/>
      </c>
      <c r="N46" s="11" t="str">
        <f aca="false">IF(ISNUMBER(SEARCH(","&amp;$A46&amp;",",","&amp;SUBSTITUTE(INDEX(Propuestas!$E$2:$E$35,12),", ",",")&amp;",")),"●","")</f>
        <v/>
      </c>
      <c r="O46" s="11" t="str">
        <f aca="false">IF(ISNUMBER(SEARCH(","&amp;$A46&amp;",",","&amp;SUBSTITUTE(INDEX(Propuestas!$E$2:$E$35,13),", ",",")&amp;",")),"●","")</f>
        <v/>
      </c>
      <c r="P46" s="11" t="str">
        <f aca="false">IF(ISNUMBER(SEARCH(","&amp;$A46&amp;",",","&amp;SUBSTITUTE(INDEX(Propuestas!$E$2:$E$35,14),", ",",")&amp;",")),"●","")</f>
        <v/>
      </c>
      <c r="Q46" s="11" t="str">
        <f aca="false">IF(ISNUMBER(SEARCH(","&amp;$A46&amp;",",","&amp;SUBSTITUTE(INDEX(Propuestas!$E$2:$E$35,15),", ",",")&amp;",")),"●","")</f>
        <v/>
      </c>
      <c r="R46" s="11" t="str">
        <f aca="false">IF(ISNUMBER(SEARCH(","&amp;$A46&amp;",",","&amp;SUBSTITUTE(INDEX(Propuestas!$E$2:$E$35,16),", ",",")&amp;",")),"●","")</f>
        <v>●</v>
      </c>
      <c r="S46" s="11" t="str">
        <f aca="false">IF(ISNUMBER(SEARCH(","&amp;$A46&amp;",",","&amp;SUBSTITUTE(INDEX(Propuestas!$E$2:$E$35,17),", ",",")&amp;",")),"●","")</f>
        <v/>
      </c>
      <c r="T46" s="11" t="str">
        <f aca="false">IF(ISNUMBER(SEARCH(","&amp;$A46&amp;",",","&amp;SUBSTITUTE(INDEX(Propuestas!$E$2:$E$35,18),", ",",")&amp;",")),"●","")</f>
        <v/>
      </c>
      <c r="U46" s="11" t="str">
        <f aca="false">IF(ISNUMBER(SEARCH(","&amp;$A46&amp;",",","&amp;SUBSTITUTE(INDEX(Propuestas!$E$2:$E$35,19),", ",",")&amp;",")),"●","")</f>
        <v/>
      </c>
      <c r="V46" s="11" t="str">
        <f aca="false">IF(ISNUMBER(SEARCH(","&amp;$A46&amp;",",","&amp;SUBSTITUTE(INDEX(Propuestas!$E$2:$E$35,20),", ",",")&amp;",")),"●","")</f>
        <v>●</v>
      </c>
      <c r="W46" s="11" t="str">
        <f aca="false">IF(ISNUMBER(SEARCH(","&amp;$A46&amp;",",","&amp;SUBSTITUTE(INDEX(Propuestas!$E$2:$E$35,21),", ",",")&amp;",")),"●","")</f>
        <v/>
      </c>
      <c r="X46" s="11" t="str">
        <f aca="false">IF(ISNUMBER(SEARCH(","&amp;$A46&amp;",",","&amp;SUBSTITUTE(INDEX(Propuestas!$E$2:$E$35,22),", ",",")&amp;",")),"●","")</f>
        <v>●</v>
      </c>
      <c r="Y46" s="11" t="str">
        <f aca="false">IF(ISNUMBER(SEARCH(","&amp;$A46&amp;",",","&amp;SUBSTITUTE(INDEX(Propuestas!$E$2:$E$35,23),", ",",")&amp;",")),"●","")</f>
        <v>●</v>
      </c>
      <c r="Z46" s="11" t="str">
        <f aca="false">IF(ISNUMBER(SEARCH(","&amp;$A46&amp;",",","&amp;SUBSTITUTE(INDEX(Propuestas!$E$2:$E$35,24),", ",",")&amp;",")),"●","")</f>
        <v/>
      </c>
      <c r="AA46" s="11" t="str">
        <f aca="false">IF(ISNUMBER(SEARCH(","&amp;$A46&amp;",",","&amp;SUBSTITUTE(INDEX(Propuestas!$E$2:$E$35,25),", ",",")&amp;",")),"●","")</f>
        <v/>
      </c>
      <c r="AB46" s="11" t="str">
        <f aca="false">IF(ISNUMBER(SEARCH(","&amp;$A46&amp;",",","&amp;SUBSTITUTE(INDEX(Propuestas!$E$2:$E$35,26),", ",",")&amp;",")),"●","")</f>
        <v/>
      </c>
      <c r="AC46" s="11" t="str">
        <f aca="false">IF(ISNUMBER(SEARCH(","&amp;$A46&amp;",",","&amp;SUBSTITUTE(INDEX(Propuestas!$E$2:$E$35,27),", ",",")&amp;",")),"●","")</f>
        <v>●</v>
      </c>
      <c r="AD46" s="11" t="str">
        <f aca="false">IF(ISNUMBER(SEARCH(","&amp;$A46&amp;",",","&amp;SUBSTITUTE(INDEX(Propuestas!$E$2:$E$35,28),", ",",")&amp;",")),"●","")</f>
        <v/>
      </c>
      <c r="AE46" s="11" t="str">
        <f aca="false">IF(ISNUMBER(SEARCH(","&amp;$A46&amp;",",","&amp;SUBSTITUTE(INDEX(Propuestas!$E$2:$E$35,29),", ",",")&amp;",")),"●","")</f>
        <v/>
      </c>
      <c r="AF46" s="11" t="str">
        <f aca="false">IF(ISNUMBER(SEARCH(","&amp;$A46&amp;",",","&amp;SUBSTITUTE(INDEX(Propuestas!$E$2:$E$35,30),", ",",")&amp;",")),"●","")</f>
        <v/>
      </c>
      <c r="AG46" s="11" t="str">
        <f aca="false">IF(ISNUMBER(SEARCH(","&amp;$A46&amp;",",","&amp;SUBSTITUTE(INDEX(Propuestas!$E$2:$E$35,31),", ",",")&amp;",")),"●","")</f>
        <v>●</v>
      </c>
      <c r="AH46" s="11" t="str">
        <f aca="false">IF(ISNUMBER(SEARCH(","&amp;$A46&amp;",",","&amp;SUBSTITUTE(INDEX(Propuestas!$E$2:$E$35,32),", ",",")&amp;",")),"●","")</f>
        <v/>
      </c>
      <c r="AI46" s="11" t="str">
        <f aca="false">IF(ISNUMBER(SEARCH(","&amp;$A46&amp;",",","&amp;SUBSTITUTE(INDEX(Propuestas!$E$2:$E$35,33),", ",",")&amp;",")),"●","")</f>
        <v/>
      </c>
      <c r="AJ46" s="11" t="str">
        <f aca="false">IF(ISNUMBER(SEARCH(","&amp;$A46&amp;",",","&amp;SUBSTITUTE(INDEX(Propuestas!$E$2:$E$35,34),", ",",")&amp;",")),"●","")</f>
        <v/>
      </c>
      <c r="AK46" s="10" t="n">
        <f aca="false">COUNTIF(C46:AJ46,"●")</f>
        <v>8</v>
      </c>
    </row>
    <row r="47" customFormat="false" ht="15" hidden="false" customHeight="false" outlineLevel="0" collapsed="false">
      <c r="A47" s="10" t="s">
        <v>701</v>
      </c>
      <c r="B47" s="10" t="n">
        <f aca="false">INDEX(Sindicatos!F:F,MATCH(A47,Sindicatos!A:A,0))</f>
        <v>2</v>
      </c>
      <c r="C47" s="11" t="str">
        <f aca="false">IF(ISNUMBER(SEARCH(","&amp;$A47&amp;",",","&amp;SUBSTITUTE(INDEX(Propuestas!$E$2:$E$35,1),", ",",")&amp;",")),"●","")</f>
        <v/>
      </c>
      <c r="D47" s="11" t="str">
        <f aca="false">IF(ISNUMBER(SEARCH(","&amp;$A47&amp;",",","&amp;SUBSTITUTE(INDEX(Propuestas!$E$2:$E$35,2),", ",",")&amp;",")),"●","")</f>
        <v/>
      </c>
      <c r="E47" s="11" t="str">
        <f aca="false">IF(ISNUMBER(SEARCH(","&amp;$A47&amp;",",","&amp;SUBSTITUTE(INDEX(Propuestas!$E$2:$E$35,3),", ",",")&amp;",")),"●","")</f>
        <v/>
      </c>
      <c r="F47" s="11" t="str">
        <f aca="false">IF(ISNUMBER(SEARCH(","&amp;$A47&amp;",",","&amp;SUBSTITUTE(INDEX(Propuestas!$E$2:$E$35,4),", ",",")&amp;",")),"●","")</f>
        <v/>
      </c>
      <c r="G47" s="11" t="str">
        <f aca="false">IF(ISNUMBER(SEARCH(","&amp;$A47&amp;",",","&amp;SUBSTITUTE(INDEX(Propuestas!$E$2:$E$35,5),", ",",")&amp;",")),"●","")</f>
        <v/>
      </c>
      <c r="H47" s="11" t="str">
        <f aca="false">IF(ISNUMBER(SEARCH(","&amp;$A47&amp;",",","&amp;SUBSTITUTE(INDEX(Propuestas!$E$2:$E$35,6),", ",",")&amp;",")),"●","")</f>
        <v/>
      </c>
      <c r="I47" s="11" t="str">
        <f aca="false">IF(ISNUMBER(SEARCH(","&amp;$A47&amp;",",","&amp;SUBSTITUTE(INDEX(Propuestas!$E$2:$E$35,7),", ",",")&amp;",")),"●","")</f>
        <v/>
      </c>
      <c r="J47" s="11" t="str">
        <f aca="false">IF(ISNUMBER(SEARCH(","&amp;$A47&amp;",",","&amp;SUBSTITUTE(INDEX(Propuestas!$E$2:$E$35,8),", ",",")&amp;",")),"●","")</f>
        <v/>
      </c>
      <c r="K47" s="11" t="str">
        <f aca="false">IF(ISNUMBER(SEARCH(","&amp;$A47&amp;",",","&amp;SUBSTITUTE(INDEX(Propuestas!$E$2:$E$35,9),", ",",")&amp;",")),"●","")</f>
        <v/>
      </c>
      <c r="L47" s="11" t="str">
        <f aca="false">IF(ISNUMBER(SEARCH(","&amp;$A47&amp;",",","&amp;SUBSTITUTE(INDEX(Propuestas!$E$2:$E$35,10),", ",",")&amp;",")),"●","")</f>
        <v/>
      </c>
      <c r="M47" s="11" t="str">
        <f aca="false">IF(ISNUMBER(SEARCH(","&amp;$A47&amp;",",","&amp;SUBSTITUTE(INDEX(Propuestas!$E$2:$E$35,11),", ",",")&amp;",")),"●","")</f>
        <v/>
      </c>
      <c r="N47" s="11" t="str">
        <f aca="false">IF(ISNUMBER(SEARCH(","&amp;$A47&amp;",",","&amp;SUBSTITUTE(INDEX(Propuestas!$E$2:$E$35,12),", ",",")&amp;",")),"●","")</f>
        <v/>
      </c>
      <c r="O47" s="11" t="str">
        <f aca="false">IF(ISNUMBER(SEARCH(","&amp;$A47&amp;",",","&amp;SUBSTITUTE(INDEX(Propuestas!$E$2:$E$35,13),", ",",")&amp;",")),"●","")</f>
        <v/>
      </c>
      <c r="P47" s="11" t="str">
        <f aca="false">IF(ISNUMBER(SEARCH(","&amp;$A47&amp;",",","&amp;SUBSTITUTE(INDEX(Propuestas!$E$2:$E$35,14),", ",",")&amp;",")),"●","")</f>
        <v>●</v>
      </c>
      <c r="Q47" s="11" t="str">
        <f aca="false">IF(ISNUMBER(SEARCH(","&amp;$A47&amp;",",","&amp;SUBSTITUTE(INDEX(Propuestas!$E$2:$E$35,15),", ",",")&amp;",")),"●","")</f>
        <v>●</v>
      </c>
      <c r="R47" s="11" t="str">
        <f aca="false">IF(ISNUMBER(SEARCH(","&amp;$A47&amp;",",","&amp;SUBSTITUTE(INDEX(Propuestas!$E$2:$E$35,16),", ",",")&amp;",")),"●","")</f>
        <v/>
      </c>
      <c r="S47" s="11" t="str">
        <f aca="false">IF(ISNUMBER(SEARCH(","&amp;$A47&amp;",",","&amp;SUBSTITUTE(INDEX(Propuestas!$E$2:$E$35,17),", ",",")&amp;",")),"●","")</f>
        <v/>
      </c>
      <c r="T47" s="11" t="str">
        <f aca="false">IF(ISNUMBER(SEARCH(","&amp;$A47&amp;",",","&amp;SUBSTITUTE(INDEX(Propuestas!$E$2:$E$35,18),", ",",")&amp;",")),"●","")</f>
        <v/>
      </c>
      <c r="U47" s="11" t="str">
        <f aca="false">IF(ISNUMBER(SEARCH(","&amp;$A47&amp;",",","&amp;SUBSTITUTE(INDEX(Propuestas!$E$2:$E$35,19),", ",",")&amp;",")),"●","")</f>
        <v/>
      </c>
      <c r="V47" s="11" t="str">
        <f aca="false">IF(ISNUMBER(SEARCH(","&amp;$A47&amp;",",","&amp;SUBSTITUTE(INDEX(Propuestas!$E$2:$E$35,20),", ",",")&amp;",")),"●","")</f>
        <v>●</v>
      </c>
      <c r="W47" s="11" t="str">
        <f aca="false">IF(ISNUMBER(SEARCH(","&amp;$A47&amp;",",","&amp;SUBSTITUTE(INDEX(Propuestas!$E$2:$E$35,21),", ",",")&amp;",")),"●","")</f>
        <v/>
      </c>
      <c r="X47" s="11" t="str">
        <f aca="false">IF(ISNUMBER(SEARCH(","&amp;$A47&amp;",",","&amp;SUBSTITUTE(INDEX(Propuestas!$E$2:$E$35,22),", ",",")&amp;",")),"●","")</f>
        <v/>
      </c>
      <c r="Y47" s="11" t="str">
        <f aca="false">IF(ISNUMBER(SEARCH(","&amp;$A47&amp;",",","&amp;SUBSTITUTE(INDEX(Propuestas!$E$2:$E$35,23),", ",",")&amp;",")),"●","")</f>
        <v/>
      </c>
      <c r="Z47" s="11" t="str">
        <f aca="false">IF(ISNUMBER(SEARCH(","&amp;$A47&amp;",",","&amp;SUBSTITUTE(INDEX(Propuestas!$E$2:$E$35,24),", ",",")&amp;",")),"●","")</f>
        <v/>
      </c>
      <c r="AA47" s="11" t="str">
        <f aca="false">IF(ISNUMBER(SEARCH(","&amp;$A47&amp;",",","&amp;SUBSTITUTE(INDEX(Propuestas!$E$2:$E$35,25),", ",",")&amp;",")),"●","")</f>
        <v/>
      </c>
      <c r="AB47" s="11" t="str">
        <f aca="false">IF(ISNUMBER(SEARCH(","&amp;$A47&amp;",",","&amp;SUBSTITUTE(INDEX(Propuestas!$E$2:$E$35,26),", ",",")&amp;",")),"●","")</f>
        <v>●</v>
      </c>
      <c r="AC47" s="11" t="str">
        <f aca="false">IF(ISNUMBER(SEARCH(","&amp;$A47&amp;",",","&amp;SUBSTITUTE(INDEX(Propuestas!$E$2:$E$35,27),", ",",")&amp;",")),"●","")</f>
        <v/>
      </c>
      <c r="AD47" s="11" t="str">
        <f aca="false">IF(ISNUMBER(SEARCH(","&amp;$A47&amp;",",","&amp;SUBSTITUTE(INDEX(Propuestas!$E$2:$E$35,28),", ",",")&amp;",")),"●","")</f>
        <v>●</v>
      </c>
      <c r="AE47" s="11" t="str">
        <f aca="false">IF(ISNUMBER(SEARCH(","&amp;$A47&amp;",",","&amp;SUBSTITUTE(INDEX(Propuestas!$E$2:$E$35,29),", ",",")&amp;",")),"●","")</f>
        <v/>
      </c>
      <c r="AF47" s="11" t="str">
        <f aca="false">IF(ISNUMBER(SEARCH(","&amp;$A47&amp;",",","&amp;SUBSTITUTE(INDEX(Propuestas!$E$2:$E$35,30),", ",",")&amp;",")),"●","")</f>
        <v>●</v>
      </c>
      <c r="AG47" s="11" t="str">
        <f aca="false">IF(ISNUMBER(SEARCH(","&amp;$A47&amp;",",","&amp;SUBSTITUTE(INDEX(Propuestas!$E$2:$E$35,31),", ",",")&amp;",")),"●","")</f>
        <v/>
      </c>
      <c r="AH47" s="11" t="str">
        <f aca="false">IF(ISNUMBER(SEARCH(","&amp;$A47&amp;",",","&amp;SUBSTITUTE(INDEX(Propuestas!$E$2:$E$35,32),", ",",")&amp;",")),"●","")</f>
        <v/>
      </c>
      <c r="AI47" s="11" t="str">
        <f aca="false">IF(ISNUMBER(SEARCH(","&amp;$A47&amp;",",","&amp;SUBSTITUTE(INDEX(Propuestas!$E$2:$E$35,33),", ",",")&amp;",")),"●","")</f>
        <v/>
      </c>
      <c r="AJ47" s="11" t="str">
        <f aca="false">IF(ISNUMBER(SEARCH(","&amp;$A47&amp;",",","&amp;SUBSTITUTE(INDEX(Propuestas!$E$2:$E$35,34),", ",",")&amp;",")),"●","")</f>
        <v/>
      </c>
      <c r="AK47" s="10" t="n">
        <f aca="false">COUNTIF(C47:AJ47,"●")</f>
        <v>6</v>
      </c>
    </row>
    <row r="48" customFormat="false" ht="15" hidden="false" customHeight="false" outlineLevel="0" collapsed="false">
      <c r="A48" s="10" t="s">
        <v>710</v>
      </c>
      <c r="B48" s="10" t="n">
        <f aca="false">INDEX(Sindicatos!F:F,MATCH(A48,Sindicatos!A:A,0))</f>
        <v>2</v>
      </c>
      <c r="C48" s="11" t="str">
        <f aca="false">IF(ISNUMBER(SEARCH(","&amp;$A48&amp;",",","&amp;SUBSTITUTE(INDEX(Propuestas!$E$2:$E$35,1),", ",",")&amp;",")),"●","")</f>
        <v/>
      </c>
      <c r="D48" s="11" t="str">
        <f aca="false">IF(ISNUMBER(SEARCH(","&amp;$A48&amp;",",","&amp;SUBSTITUTE(INDEX(Propuestas!$E$2:$E$35,2),", ",",")&amp;",")),"●","")</f>
        <v>●</v>
      </c>
      <c r="E48" s="11" t="str">
        <f aca="false">IF(ISNUMBER(SEARCH(","&amp;$A48&amp;",",","&amp;SUBSTITUTE(INDEX(Propuestas!$E$2:$E$35,3),", ",",")&amp;",")),"●","")</f>
        <v/>
      </c>
      <c r="F48" s="11" t="str">
        <f aca="false">IF(ISNUMBER(SEARCH(","&amp;$A48&amp;",",","&amp;SUBSTITUTE(INDEX(Propuestas!$E$2:$E$35,4),", ",",")&amp;",")),"●","")</f>
        <v/>
      </c>
      <c r="G48" s="11" t="str">
        <f aca="false">IF(ISNUMBER(SEARCH(","&amp;$A48&amp;",",","&amp;SUBSTITUTE(INDEX(Propuestas!$E$2:$E$35,5),", ",",")&amp;",")),"●","")</f>
        <v/>
      </c>
      <c r="H48" s="11" t="str">
        <f aca="false">IF(ISNUMBER(SEARCH(","&amp;$A48&amp;",",","&amp;SUBSTITUTE(INDEX(Propuestas!$E$2:$E$35,6),", ",",")&amp;",")),"●","")</f>
        <v>●</v>
      </c>
      <c r="I48" s="11" t="str">
        <f aca="false">IF(ISNUMBER(SEARCH(","&amp;$A48&amp;",",","&amp;SUBSTITUTE(INDEX(Propuestas!$E$2:$E$35,7),", ",",")&amp;",")),"●","")</f>
        <v/>
      </c>
      <c r="J48" s="11" t="str">
        <f aca="false">IF(ISNUMBER(SEARCH(","&amp;$A48&amp;",",","&amp;SUBSTITUTE(INDEX(Propuestas!$E$2:$E$35,8),", ",",")&amp;",")),"●","")</f>
        <v>●</v>
      </c>
      <c r="K48" s="11" t="str">
        <f aca="false">IF(ISNUMBER(SEARCH(","&amp;$A48&amp;",",","&amp;SUBSTITUTE(INDEX(Propuestas!$E$2:$E$35,9),", ",",")&amp;",")),"●","")</f>
        <v/>
      </c>
      <c r="L48" s="11" t="str">
        <f aca="false">IF(ISNUMBER(SEARCH(","&amp;$A48&amp;",",","&amp;SUBSTITUTE(INDEX(Propuestas!$E$2:$E$35,10),", ",",")&amp;",")),"●","")</f>
        <v/>
      </c>
      <c r="M48" s="11" t="str">
        <f aca="false">IF(ISNUMBER(SEARCH(","&amp;$A48&amp;",",","&amp;SUBSTITUTE(INDEX(Propuestas!$E$2:$E$35,11),", ",",")&amp;",")),"●","")</f>
        <v/>
      </c>
      <c r="N48" s="11" t="str">
        <f aca="false">IF(ISNUMBER(SEARCH(","&amp;$A48&amp;",",","&amp;SUBSTITUTE(INDEX(Propuestas!$E$2:$E$35,12),", ",",")&amp;",")),"●","")</f>
        <v/>
      </c>
      <c r="O48" s="11" t="str">
        <f aca="false">IF(ISNUMBER(SEARCH(","&amp;$A48&amp;",",","&amp;SUBSTITUTE(INDEX(Propuestas!$E$2:$E$35,13),", ",",")&amp;",")),"●","")</f>
        <v/>
      </c>
      <c r="P48" s="11" t="str">
        <f aca="false">IF(ISNUMBER(SEARCH(","&amp;$A48&amp;",",","&amp;SUBSTITUTE(INDEX(Propuestas!$E$2:$E$35,14),", ",",")&amp;",")),"●","")</f>
        <v/>
      </c>
      <c r="Q48" s="11" t="str">
        <f aca="false">IF(ISNUMBER(SEARCH(","&amp;$A48&amp;",",","&amp;SUBSTITUTE(INDEX(Propuestas!$E$2:$E$35,15),", ",",")&amp;",")),"●","")</f>
        <v/>
      </c>
      <c r="R48" s="11" t="str">
        <f aca="false">IF(ISNUMBER(SEARCH(","&amp;$A48&amp;",",","&amp;SUBSTITUTE(INDEX(Propuestas!$E$2:$E$35,16),", ",",")&amp;",")),"●","")</f>
        <v/>
      </c>
      <c r="S48" s="11" t="str">
        <f aca="false">IF(ISNUMBER(SEARCH(","&amp;$A48&amp;",",","&amp;SUBSTITUTE(INDEX(Propuestas!$E$2:$E$35,17),", ",",")&amp;",")),"●","")</f>
        <v/>
      </c>
      <c r="T48" s="11" t="str">
        <f aca="false">IF(ISNUMBER(SEARCH(","&amp;$A48&amp;",",","&amp;SUBSTITUTE(INDEX(Propuestas!$E$2:$E$35,18),", ",",")&amp;",")),"●","")</f>
        <v/>
      </c>
      <c r="U48" s="11" t="str">
        <f aca="false">IF(ISNUMBER(SEARCH(","&amp;$A48&amp;",",","&amp;SUBSTITUTE(INDEX(Propuestas!$E$2:$E$35,19),", ",",")&amp;",")),"●","")</f>
        <v>●</v>
      </c>
      <c r="V48" s="11" t="str">
        <f aca="false">IF(ISNUMBER(SEARCH(","&amp;$A48&amp;",",","&amp;SUBSTITUTE(INDEX(Propuestas!$E$2:$E$35,20),", ",",")&amp;",")),"●","")</f>
        <v>●</v>
      </c>
      <c r="W48" s="11" t="str">
        <f aca="false">IF(ISNUMBER(SEARCH(","&amp;$A48&amp;",",","&amp;SUBSTITUTE(INDEX(Propuestas!$E$2:$E$35,21),", ",",")&amp;",")),"●","")</f>
        <v/>
      </c>
      <c r="X48" s="11" t="str">
        <f aca="false">IF(ISNUMBER(SEARCH(","&amp;$A48&amp;",",","&amp;SUBSTITUTE(INDEX(Propuestas!$E$2:$E$35,22),", ",",")&amp;",")),"●","")</f>
        <v/>
      </c>
      <c r="Y48" s="11" t="str">
        <f aca="false">IF(ISNUMBER(SEARCH(","&amp;$A48&amp;",",","&amp;SUBSTITUTE(INDEX(Propuestas!$E$2:$E$35,23),", ",",")&amp;",")),"●","")</f>
        <v/>
      </c>
      <c r="Z48" s="11" t="str">
        <f aca="false">IF(ISNUMBER(SEARCH(","&amp;$A48&amp;",",","&amp;SUBSTITUTE(INDEX(Propuestas!$E$2:$E$35,24),", ",",")&amp;",")),"●","")</f>
        <v>●</v>
      </c>
      <c r="AA48" s="11" t="str">
        <f aca="false">IF(ISNUMBER(SEARCH(","&amp;$A48&amp;",",","&amp;SUBSTITUTE(INDEX(Propuestas!$E$2:$E$35,25),", ",",")&amp;",")),"●","")</f>
        <v/>
      </c>
      <c r="AB48" s="11" t="str">
        <f aca="false">IF(ISNUMBER(SEARCH(","&amp;$A48&amp;",",","&amp;SUBSTITUTE(INDEX(Propuestas!$E$2:$E$35,26),", ",",")&amp;",")),"●","")</f>
        <v/>
      </c>
      <c r="AC48" s="11" t="str">
        <f aca="false">IF(ISNUMBER(SEARCH(","&amp;$A48&amp;",",","&amp;SUBSTITUTE(INDEX(Propuestas!$E$2:$E$35,27),", ",",")&amp;",")),"●","")</f>
        <v/>
      </c>
      <c r="AD48" s="11" t="str">
        <f aca="false">IF(ISNUMBER(SEARCH(","&amp;$A48&amp;",",","&amp;SUBSTITUTE(INDEX(Propuestas!$E$2:$E$35,28),", ",",")&amp;",")),"●","")</f>
        <v/>
      </c>
      <c r="AE48" s="11" t="str">
        <f aca="false">IF(ISNUMBER(SEARCH(","&amp;$A48&amp;",",","&amp;SUBSTITUTE(INDEX(Propuestas!$E$2:$E$35,29),", ",",")&amp;",")),"●","")</f>
        <v/>
      </c>
      <c r="AF48" s="11" t="str">
        <f aca="false">IF(ISNUMBER(SEARCH(","&amp;$A48&amp;",",","&amp;SUBSTITUTE(INDEX(Propuestas!$E$2:$E$35,30),", ",",")&amp;",")),"●","")</f>
        <v/>
      </c>
      <c r="AG48" s="11" t="str">
        <f aca="false">IF(ISNUMBER(SEARCH(","&amp;$A48&amp;",",","&amp;SUBSTITUTE(INDEX(Propuestas!$E$2:$E$35,31),", ",",")&amp;",")),"●","")</f>
        <v/>
      </c>
      <c r="AH48" s="11" t="str">
        <f aca="false">IF(ISNUMBER(SEARCH(","&amp;$A48&amp;",",","&amp;SUBSTITUTE(INDEX(Propuestas!$E$2:$E$35,32),", ",",")&amp;",")),"●","")</f>
        <v/>
      </c>
      <c r="AI48" s="11" t="str">
        <f aca="false">IF(ISNUMBER(SEARCH(","&amp;$A48&amp;",",","&amp;SUBSTITUTE(INDEX(Propuestas!$E$2:$E$35,33),", ",",")&amp;",")),"●","")</f>
        <v/>
      </c>
      <c r="AJ48" s="11" t="str">
        <f aca="false">IF(ISNUMBER(SEARCH(","&amp;$A48&amp;",",","&amp;SUBSTITUTE(INDEX(Propuestas!$E$2:$E$35,34),", ",",")&amp;",")),"●","")</f>
        <v>●</v>
      </c>
      <c r="AK48" s="10" t="n">
        <f aca="false">COUNTIF(C48:AJ48,"●")</f>
        <v>7</v>
      </c>
    </row>
    <row r="49" customFormat="false" ht="15" hidden="false" customHeight="false" outlineLevel="0" collapsed="false">
      <c r="A49" s="12" t="s">
        <v>3943</v>
      </c>
      <c r="C49" s="12" t="n">
        <f aca="false">COUNTIF(C2:C48,"●")</f>
        <v>18</v>
      </c>
      <c r="D49" s="12" t="n">
        <f aca="false">COUNTIF(D2:D48,"●")</f>
        <v>16</v>
      </c>
      <c r="E49" s="12" t="n">
        <f aca="false">COUNTIF(E2:E48,"●")</f>
        <v>11</v>
      </c>
      <c r="F49" s="12" t="n">
        <f aca="false">COUNTIF(F2:F48,"●")</f>
        <v>22</v>
      </c>
      <c r="G49" s="12" t="n">
        <f aca="false">COUNTIF(G2:G48,"●")</f>
        <v>11</v>
      </c>
      <c r="H49" s="12" t="n">
        <f aca="false">COUNTIF(H2:H48,"●")</f>
        <v>11</v>
      </c>
      <c r="I49" s="12" t="n">
        <f aca="false">COUNTIF(I2:I48,"●")</f>
        <v>9</v>
      </c>
      <c r="J49" s="12" t="n">
        <f aca="false">COUNTIF(J2:J48,"●")</f>
        <v>12</v>
      </c>
      <c r="K49" s="12" t="n">
        <f aca="false">COUNTIF(K2:K48,"●")</f>
        <v>8</v>
      </c>
      <c r="L49" s="12" t="n">
        <f aca="false">COUNTIF(L2:L48,"●")</f>
        <v>10</v>
      </c>
      <c r="M49" s="12" t="n">
        <f aca="false">COUNTIF(M2:M48,"●")</f>
        <v>7</v>
      </c>
      <c r="N49" s="12" t="n">
        <f aca="false">COUNTIF(N2:N48,"●")</f>
        <v>12</v>
      </c>
      <c r="O49" s="12" t="n">
        <f aca="false">COUNTIF(O2:O48,"●")</f>
        <v>11</v>
      </c>
      <c r="P49" s="12" t="n">
        <f aca="false">COUNTIF(P2:P48,"●")</f>
        <v>13</v>
      </c>
      <c r="Q49" s="12" t="n">
        <f aca="false">COUNTIF(Q2:Q48,"●")</f>
        <v>24</v>
      </c>
      <c r="R49" s="12" t="n">
        <f aca="false">COUNTIF(R2:R48,"●")</f>
        <v>8</v>
      </c>
      <c r="S49" s="12" t="n">
        <f aca="false">COUNTIF(S2:S48,"●")</f>
        <v>12</v>
      </c>
      <c r="T49" s="12" t="n">
        <f aca="false">COUNTIF(T2:T48,"●")</f>
        <v>10</v>
      </c>
      <c r="U49" s="12" t="n">
        <f aca="false">COUNTIF(U2:U48,"●")</f>
        <v>14</v>
      </c>
      <c r="V49" s="12" t="n">
        <f aca="false">COUNTIF(V2:V48,"●")</f>
        <v>45</v>
      </c>
      <c r="W49" s="12" t="n">
        <f aca="false">COUNTIF(W2:W48,"●")</f>
        <v>11</v>
      </c>
      <c r="X49" s="12" t="n">
        <f aca="false">COUNTIF(X2:X48,"●")</f>
        <v>22</v>
      </c>
      <c r="Y49" s="12" t="n">
        <f aca="false">COUNTIF(Y2:Y48,"●")</f>
        <v>9</v>
      </c>
      <c r="Z49" s="12" t="n">
        <f aca="false">COUNTIF(Z2:Z48,"●")</f>
        <v>11</v>
      </c>
      <c r="AA49" s="12" t="n">
        <f aca="false">COUNTIF(AA2:AA48,"●")</f>
        <v>5</v>
      </c>
      <c r="AB49" s="12" t="n">
        <f aca="false">COUNTIF(AB2:AB48,"●")</f>
        <v>9</v>
      </c>
      <c r="AC49" s="12" t="n">
        <f aca="false">COUNTIF(AC2:AC48,"●")</f>
        <v>10</v>
      </c>
      <c r="AD49" s="12" t="n">
        <f aca="false">COUNTIF(AD2:AD48,"●")</f>
        <v>10</v>
      </c>
      <c r="AE49" s="12" t="n">
        <f aca="false">COUNTIF(AE2:AE48,"●")</f>
        <v>14</v>
      </c>
      <c r="AF49" s="12" t="n">
        <f aca="false">COUNTIF(AF2:AF48,"●")</f>
        <v>8</v>
      </c>
      <c r="AG49" s="12" t="n">
        <f aca="false">COUNTIF(AG2:AG48,"●")</f>
        <v>5</v>
      </c>
      <c r="AH49" s="12" t="n">
        <f aca="false">COUNTIF(AH2:AH48,"●")</f>
        <v>7</v>
      </c>
      <c r="AI49" s="12" t="n">
        <f aca="false">COUNTIF(AI2:AI48,"●")</f>
        <v>3</v>
      </c>
      <c r="AJ49" s="12" t="n">
        <f aca="false">COUNTIF(AJ2:AJ48,"●")</f>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2026-09-25T23:13:10Z</dcterms:created>
  <dc:creator>openpyxl</dc:creator>
  <dc:description/>
  <dc:language>en-US</dc:language>
  <cp:lastModifiedBy/>
  <dcterms:modified xsi:type="dcterms:W3CDTF">2026-09-25T23:13:10Z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